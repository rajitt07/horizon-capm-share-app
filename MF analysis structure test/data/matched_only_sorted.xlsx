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680" yWindow="660" windowWidth="24720" windowHeight="17260" tabRatio="600" firstSheet="0" activeTab="0" autoFilterDateGrouping="1"/>
  </bookViews>
  <sheets>
    <sheet name="matched_only" sheetId="1" state="visible" r:id="rId1"/>
    <sheet name="Sheet1" sheetId="2" state="visible" r:id="rId2"/>
    <sheet name="summar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0.000000"/>
    <numFmt numFmtId="166" formatCode="0/6"/>
  </numFmts>
  <fonts count="1">
    <font>
      <name val="Calibri"/>
      <family val="2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4BD"/>
        <bgColor indexed="64"/>
      </patternFill>
    </fill>
    <fill>
      <patternFill patternType="solid">
        <fgColor rgb="FFFFB2FF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64" fontId="0" fillId="2" borderId="0" pivotButton="0" quotePrefix="0" xfId="0"/>
    <xf numFmtId="0" fontId="0" fillId="8" borderId="0" pivotButton="0" quotePrefix="0" xfId="0"/>
    <xf numFmtId="164" fontId="0" fillId="8" borderId="0" pivotButton="0" quotePrefix="0" xfId="0"/>
    <xf numFmtId="164" fontId="0" fillId="3" borderId="0" pivotButton="0" quotePrefix="0" xfId="0"/>
    <xf numFmtId="164" fontId="0" fillId="4" borderId="0" pivotButton="0" quotePrefix="0" xfId="0"/>
    <xf numFmtId="164" fontId="0" fillId="5" borderId="0" pivotButton="0" quotePrefix="0" xfId="0"/>
    <xf numFmtId="164" fontId="0" fillId="6" borderId="0" pivotButton="0" quotePrefix="0" xfId="0"/>
    <xf numFmtId="164" fontId="0" fillId="7" borderId="0" pivotButton="0" quotePrefix="0" xfId="0"/>
    <xf numFmtId="0" fontId="0" fillId="9" borderId="0" pivotButton="0" quotePrefix="0" xfId="0"/>
    <xf numFmtId="164" fontId="0" fillId="9" borderId="0" pivotButton="0" quotePrefix="0" xfId="0"/>
    <xf numFmtId="2" fontId="0" fillId="0" borderId="0" pivotButton="0" quotePrefix="0" xfId="0"/>
    <xf numFmtId="0" fontId="0" fillId="10" borderId="0" pivotButton="0" quotePrefix="0" xfId="0"/>
    <xf numFmtId="0" fontId="0" fillId="11" borderId="0" pivotButton="0" quotePrefix="0" xfId="0"/>
    <xf numFmtId="164" fontId="0" fillId="11" borderId="0" pivotButton="0" quotePrefix="0" xfId="0"/>
    <xf numFmtId="0" fontId="0" fillId="12" borderId="0" pivotButton="0" quotePrefix="0" xfId="0"/>
    <xf numFmtId="164" fontId="0" fillId="12" borderId="0" pivotButton="0" quotePrefix="0" xfId="0"/>
    <xf numFmtId="0" fontId="0" fillId="13" borderId="0" pivotButton="0" quotePrefix="0" xfId="0"/>
    <xf numFmtId="164" fontId="0" fillId="13" borderId="0" pivotButton="0" quotePrefix="0" xfId="0"/>
    <xf numFmtId="2" fontId="0" fillId="9" borderId="0" pivotButton="0" quotePrefix="0" xfId="0"/>
    <xf numFmtId="165" fontId="0" fillId="0" borderId="0" pivotButton="0" quotePrefix="0" xfId="0"/>
    <xf numFmtId="165" fontId="0" fillId="9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8"/>
  <sheetViews>
    <sheetView tabSelected="1" topLeftCell="O1" workbookViewId="0">
      <selection activeCell="T1" sqref="T1"/>
    </sheetView>
  </sheetViews>
  <sheetFormatPr baseColWidth="10" defaultColWidth="8.83203125" defaultRowHeight="15"/>
  <cols>
    <col width="22.5" customWidth="1" min="1" max="1"/>
    <col width="17.1640625" customWidth="1" min="2" max="2"/>
    <col width="15.5" customWidth="1" min="3" max="3"/>
    <col width="14.83203125" customWidth="1" min="4" max="4"/>
    <col width="14.1640625" customWidth="1" min="5" max="5"/>
    <col width="16.6640625" customWidth="1" min="6" max="6"/>
    <col width="15" customWidth="1" min="7" max="7"/>
    <col width="20.83203125" customWidth="1" min="9" max="9"/>
    <col width="19.6640625" customWidth="1" min="10" max="10"/>
    <col width="27.1640625" customWidth="1" min="11" max="11"/>
    <col width="23.6640625" customWidth="1" min="12" max="12"/>
    <col width="22.33203125" customWidth="1" min="13" max="13"/>
    <col width="22.1640625" customWidth="1" min="14" max="14"/>
    <col width="24.1640625" customWidth="1" min="15" max="15"/>
    <col width="21.83203125" customWidth="1" min="16" max="16"/>
    <col width="22.83203125" customWidth="1" min="17" max="17"/>
    <col width="20.5" customWidth="1" min="18" max="18"/>
    <col width="23.5" customWidth="1" min="19" max="19"/>
    <col width="25.5" customWidth="1" min="20" max="20"/>
    <col width="23.5" customWidth="1" min="21" max="22"/>
    <col width="27.5" customWidth="1" min="23" max="23"/>
    <col width="30.6640625" customWidth="1" min="24" max="24"/>
    <col width="27.83203125" customWidth="1" min="25" max="25"/>
    <col width="27.33203125" customWidth="1" min="26" max="26"/>
    <col width="31.6640625" customWidth="1" min="27" max="27"/>
    <col width="32.5" customWidth="1" min="28" max="28"/>
    <col width="31" customWidth="1" min="29" max="29"/>
    <col width="36.33203125" customWidth="1" min="30" max="30"/>
    <col width="34.1640625" customWidth="1" min="31" max="31"/>
    <col width="36.5" customWidth="1" min="32" max="32"/>
    <col width="31.1640625" customWidth="1" min="33" max="33"/>
    <col width="26.83203125" customWidth="1" min="34" max="34"/>
    <col width="32" customWidth="1" min="35" max="35"/>
    <col width="35.33203125" customWidth="1" min="36" max="36"/>
    <col width="37.6640625" customWidth="1" min="37" max="37"/>
    <col width="22.6640625" customWidth="1" min="38" max="38"/>
    <col width="27.5" customWidth="1" min="39" max="39"/>
    <col width="31" customWidth="1" min="40" max="40"/>
    <col width="30.33203125" customWidth="1" min="41" max="41"/>
    <col width="26" customWidth="1" min="42" max="42"/>
    <col width="23.33203125" customWidth="1" min="43" max="43"/>
    <col width="25" customWidth="1" min="44" max="44"/>
    <col width="32.1640625" customWidth="1" min="48" max="48"/>
    <col width="22.1640625" customWidth="1" min="51" max="51"/>
    <col width="22.5" customWidth="1" min="52" max="52"/>
    <col width="36.83203125" customWidth="1" min="53" max="53"/>
    <col width="23.6640625" customWidth="1" min="54" max="54"/>
  </cols>
  <sheetData>
    <row r="1">
      <c r="A1" t="inlineStr">
        <is>
          <t>scheme_name</t>
        </is>
      </c>
      <c r="B1" t="inlineStr">
        <is>
          <t>category</t>
        </is>
      </c>
      <c r="C1" t="inlineStr">
        <is>
          <t>Benchmark</t>
        </is>
      </c>
      <c r="D1" t="inlineStr">
        <is>
          <t>Riskometer Scheme</t>
        </is>
      </c>
      <c r="E1" t="inlineStr">
        <is>
          <t>Riskometer Benchmark</t>
        </is>
      </c>
      <c r="F1" t="inlineStr">
        <is>
          <t>NAV Date</t>
        </is>
      </c>
      <c r="G1" t="inlineStr">
        <is>
          <t>NAV Regular</t>
        </is>
      </c>
      <c r="H1" t="inlineStr">
        <is>
          <t>NAV Direct</t>
        </is>
      </c>
      <c r="I1" t="inlineStr">
        <is>
          <t>Return 1 Year (%) Direct</t>
        </is>
      </c>
      <c r="J1" t="inlineStr">
        <is>
          <t>Alpha 1yr</t>
        </is>
      </c>
      <c r="K1" t="inlineStr">
        <is>
          <t>Return 1 Year (%) Benchmark</t>
        </is>
      </c>
      <c r="L1" t="inlineStr">
        <is>
          <t>Return 3 Year (%) Direct</t>
        </is>
      </c>
      <c r="M1" t="inlineStr">
        <is>
          <t>Alpha 3yr</t>
        </is>
      </c>
      <c r="N1" t="inlineStr">
        <is>
          <t>Return 3 Year (%) Benchmark</t>
        </is>
      </c>
      <c r="O1" t="inlineStr">
        <is>
          <t>Return 5 Year (%) Direct</t>
        </is>
      </c>
      <c r="P1" t="inlineStr">
        <is>
          <t>Alpha 5yr</t>
        </is>
      </c>
      <c r="Q1" t="inlineStr">
        <is>
          <t>Return 5 Year (%) Benchmark</t>
        </is>
      </c>
      <c r="R1" t="inlineStr">
        <is>
          <t>Return 10 Year (%) Direct</t>
        </is>
      </c>
      <c r="S1" t="inlineStr">
        <is>
          <t>Alpha 10yr</t>
        </is>
      </c>
      <c r="T1" t="inlineStr">
        <is>
          <t>Return 10 Year (%) Benchmark</t>
        </is>
      </c>
      <c r="U1" t="inlineStr">
        <is>
          <t>Return Since Launch Direct</t>
        </is>
      </c>
      <c r="V1" t="inlineStr">
        <is>
          <t>Daily AUM (Cr.)</t>
        </is>
      </c>
      <c r="W1" t="inlineStr">
        <is>
          <t>Information Ratio* 1 Year (Direct)</t>
        </is>
      </c>
      <c r="X1" t="inlineStr">
        <is>
          <t>Information Ratio* 1 Year (Regular)</t>
        </is>
      </c>
      <c r="Y1" t="inlineStr">
        <is>
          <t>Information Ratio* 10 Year (Direct)</t>
        </is>
      </c>
      <c r="Z1" t="inlineStr">
        <is>
          <t>Information Ratio* 10 Year (Regular)</t>
        </is>
      </c>
      <c r="AA1" t="inlineStr">
        <is>
          <t>Information Ratio* 3 Year (Direct)</t>
        </is>
      </c>
      <c r="AB1" t="inlineStr">
        <is>
          <t>Information Ratio* 3 Year (Regular)</t>
        </is>
      </c>
      <c r="AC1" t="inlineStr">
        <is>
          <t>Information Ratio* 5 Year (Direct)</t>
        </is>
      </c>
      <c r="AD1" t="inlineStr">
        <is>
          <t>Information Ratio* 5 Year (Regular)</t>
        </is>
      </c>
      <c r="AE1" t="inlineStr">
        <is>
          <t>Return 1 Year (%) Regular</t>
        </is>
      </c>
      <c r="AF1" t="inlineStr">
        <is>
          <t>Return 10 Year (%) Regular</t>
        </is>
      </c>
      <c r="AG1" t="inlineStr">
        <is>
          <t>Return 3 Year (%) Regular</t>
        </is>
      </c>
      <c r="AH1" t="inlineStr">
        <is>
          <t>Return 5 Year (%) Regular</t>
        </is>
      </c>
      <c r="AI1" t="inlineStr">
        <is>
          <t>Return Since Launch Benchmark</t>
        </is>
      </c>
      <c r="AJ1" t="inlineStr">
        <is>
          <t>Return Since Launch Direct Benchmark</t>
        </is>
      </c>
      <c r="AK1" t="inlineStr">
        <is>
          <t>Return Since Launch Regular</t>
        </is>
      </c>
      <c r="AL1" t="inlineStr">
        <is>
          <t>ter_Scheme Category</t>
        </is>
      </c>
      <c r="AM1" t="inlineStr">
        <is>
          <t>ter_Regular Plan - Base TER (%)</t>
        </is>
      </c>
      <c r="AN1" t="inlineStr">
        <is>
          <t>ter_Regular Plan - Additional expense as per Regulation 52(6A)(b) (%)</t>
        </is>
      </c>
      <c r="AO1" t="inlineStr">
        <is>
          <t>ter_Regular Plan - Additional expense as per Regulation 52(6A)(c) (%)</t>
        </is>
      </c>
      <c r="AP1" t="inlineStr">
        <is>
          <t>ter_Regular Plan - GST (%)</t>
        </is>
      </c>
      <c r="AQ1" t="inlineStr">
        <is>
          <t>ter_Regular Plan - Total TER (%)</t>
        </is>
      </c>
      <c r="AR1" t="inlineStr">
        <is>
          <t>ter_Direct Plan - Base TER (%)</t>
        </is>
      </c>
      <c r="AS1" t="inlineStr">
        <is>
          <t>ter_Direct Plan - Additional expense as per Regulation 52(6A)(b) (%)</t>
        </is>
      </c>
      <c r="AT1" t="inlineStr">
        <is>
          <t>ter_Direct Plan - Additional expense as per Regulation 52(6A)(c) (%)</t>
        </is>
      </c>
      <c r="AU1" t="inlineStr">
        <is>
          <t>ter_Direct Plan - GST (%)</t>
        </is>
      </c>
      <c r="AV1" t="inlineStr">
        <is>
          <t>ter_Direct Plan - Total TER (%)</t>
        </is>
      </c>
      <c r="AW1" t="inlineStr">
        <is>
          <t>AUM Change Dec</t>
        </is>
      </c>
      <c r="AX1" t="inlineStr">
        <is>
          <t>aum diff</t>
        </is>
      </c>
      <c r="AY1" t="inlineStr">
        <is>
          <t>NAV Std Dev (Rebased)</t>
        </is>
      </c>
      <c r="AZ1" t="inlineStr">
        <is>
          <t>Category Avg NAV Std Dev (Rebased)</t>
        </is>
      </c>
      <c r="BA1" t="inlineStr">
        <is>
          <t>NAV Std Dev percentage change</t>
        </is>
      </c>
      <c r="BB1" t="inlineStr">
        <is>
          <t>Score</t>
        </is>
      </c>
      <c r="BC1" t="inlineStr">
        <is>
          <t>Score C1 Return1Y vs CatAvg</t>
        </is>
      </c>
      <c r="BD1" t="inlineStr">
        <is>
          <t>Score C2 AUM Change &gt; 0</t>
        </is>
      </c>
      <c r="BE1" t="inlineStr">
        <is>
          <t>Score C3 TER &lt; CatAvg TER</t>
        </is>
      </c>
      <c r="BF1" t="inlineStr">
        <is>
          <t>Score C4 Alpha1Y &gt; 0</t>
        </is>
      </c>
      <c r="BG1" t="inlineStr">
        <is>
          <t>Score C5 IR1Y Direct &gt; 1</t>
        </is>
      </c>
      <c r="BH1" t="inlineStr">
        <is>
          <t>Score C6 NavStd &lt; CatAvgNavStd</t>
        </is>
      </c>
    </row>
    <row r="2">
      <c r="A2" s="1" t="inlineStr">
        <is>
          <t>Aditya Birla Sun Life Dividend Yield Fund</t>
        </is>
      </c>
      <c r="B2" s="1" t="inlineStr">
        <is>
          <t>dividend yield</t>
        </is>
      </c>
      <c r="C2" s="1" t="inlineStr">
        <is>
          <t>Nifty 500 TRI</t>
        </is>
      </c>
      <c r="D2" s="1" t="inlineStr">
        <is>
          <t>Very High</t>
        </is>
      </c>
      <c r="E2" s="1" t="inlineStr">
        <is>
          <t>Very High</t>
        </is>
      </c>
      <c r="F2" s="7" t="n">
        <v>46023</v>
      </c>
      <c r="G2" s="1" t="n">
        <v>461.06</v>
      </c>
      <c r="H2" s="1" t="n">
        <v>508.27</v>
      </c>
      <c r="I2" s="1" t="n">
        <v>2.7160842</v>
      </c>
      <c r="J2" s="1" t="n">
        <v>-4.7029441</v>
      </c>
      <c r="K2" s="1" t="n">
        <v>7.4190283</v>
      </c>
      <c r="L2" s="1" t="n">
        <v>20.18082</v>
      </c>
      <c r="M2" s="1" t="n">
        <v>3.458591000000002</v>
      </c>
      <c r="N2" s="1" t="n">
        <v>16.722229</v>
      </c>
      <c r="O2" s="1" t="n">
        <v>20.177053</v>
      </c>
      <c r="P2" s="1" t="n">
        <v>3.388336000000002</v>
      </c>
      <c r="Q2" s="1" t="n">
        <v>16.788717</v>
      </c>
      <c r="R2" s="1" t="n">
        <v>13.837037</v>
      </c>
      <c r="S2" s="1" t="n">
        <v>-0.8959019999999995</v>
      </c>
      <c r="T2" s="1" t="n">
        <v>14.732939</v>
      </c>
      <c r="U2" s="1" t="n">
        <v>13.677923</v>
      </c>
      <c r="V2" s="1" t="n">
        <v>1510.85</v>
      </c>
      <c r="W2" s="1" t="n">
        <v>-1.095618016232884</v>
      </c>
      <c r="X2" s="1" t="n">
        <v>-1.293814262120556</v>
      </c>
      <c r="Y2" s="1" t="n">
        <v>-0.1442407049744539</v>
      </c>
      <c r="Z2" s="1" t="n">
        <v>-0.2601086867958662</v>
      </c>
      <c r="AA2" s="1" t="n">
        <v>0.634931747769575</v>
      </c>
      <c r="AB2" s="1" t="n">
        <v>0.4699785934983588</v>
      </c>
      <c r="AC2" s="1" t="n">
        <v>0.47171708567877</v>
      </c>
      <c r="AD2" s="1" t="n">
        <v>0.3487418807312402</v>
      </c>
      <c r="AE2" s="1" t="n">
        <v>1.889461</v>
      </c>
      <c r="AF2" s="1" t="n">
        <v>12.989732</v>
      </c>
      <c r="AG2" s="1" t="n">
        <v>19.232485</v>
      </c>
      <c r="AH2" s="1" t="n">
        <v>19.277205</v>
      </c>
      <c r="AI2" s="1" t="n">
        <v>17.883036</v>
      </c>
      <c r="AJ2" s="1" t="n">
        <v>14.357214</v>
      </c>
      <c r="AK2" s="1" t="n">
        <v>18.241709</v>
      </c>
      <c r="AL2" s="1" t="inlineStr">
        <is>
          <t>Equity Scheme - Dividend Yield Fund</t>
        </is>
      </c>
      <c r="AM2" s="1" t="n">
        <v>1.95</v>
      </c>
      <c r="AN2" s="1" t="n">
        <v>0</v>
      </c>
      <c r="AO2" s="1" t="n">
        <v>0.05</v>
      </c>
      <c r="AP2" s="1" t="n">
        <v>0.2</v>
      </c>
      <c r="AQ2" s="1" t="n">
        <v>2.2</v>
      </c>
      <c r="AR2" s="1" t="n">
        <v>1.1</v>
      </c>
      <c r="AS2" s="1" t="n">
        <v>0</v>
      </c>
      <c r="AT2" s="1" t="n">
        <v>0.05</v>
      </c>
      <c r="AU2" s="1" t="n">
        <v>0.2</v>
      </c>
      <c r="AV2" s="1" t="n">
        <v>1.35</v>
      </c>
      <c r="AW2" s="17" t="n">
        <v>-0.07743985173907704</v>
      </c>
      <c r="AX2" t="inlineStr">
        <is>
          <t>1cr</t>
        </is>
      </c>
      <c r="AY2" s="26" t="n">
        <v>1.385780820594285</v>
      </c>
      <c r="AZ2" s="26" t="n">
        <v>1.193188093213216</v>
      </c>
      <c r="BA2" s="26" t="n">
        <v>0.4868676532031952</v>
      </c>
      <c r="BB2" s="28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s="1" t="inlineStr">
        <is>
          <t>Baroda BNP Paribas Dividend Yield Fund</t>
        </is>
      </c>
      <c r="B3" s="1" t="inlineStr">
        <is>
          <t>dividend yield</t>
        </is>
      </c>
      <c r="C3" s="1" t="inlineStr">
        <is>
          <t>Nifty 500 TRI</t>
        </is>
      </c>
      <c r="D3" s="1" t="inlineStr">
        <is>
          <t>Very High</t>
        </is>
      </c>
      <c r="E3" s="1" t="inlineStr">
        <is>
          <t>Very High</t>
        </is>
      </c>
      <c r="F3" s="7" t="n">
        <v>46023</v>
      </c>
      <c r="G3" s="1" t="n">
        <v>9.8797</v>
      </c>
      <c r="H3" s="1" t="n">
        <v>10.0955</v>
      </c>
      <c r="I3" s="1" t="n">
        <v>7.0867896</v>
      </c>
      <c r="J3" s="1" t="n">
        <v>-0.3322386999999996</v>
      </c>
      <c r="K3" s="1" t="n">
        <v>7.4190283</v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>
        <v>0.1373281</v>
      </c>
      <c r="V3" s="1" t="n">
        <v>777.83</v>
      </c>
      <c r="W3" s="1" t="n">
        <v>-0.1598208565811024</v>
      </c>
      <c r="X3" s="1" t="n">
        <v>-0.7400723181061251</v>
      </c>
      <c r="Y3" s="1" t="n"/>
      <c r="Z3" s="1" t="n"/>
      <c r="AA3" s="1" t="n"/>
      <c r="AB3" s="1" t="n"/>
      <c r="AC3" s="1" t="n"/>
      <c r="AD3" s="1" t="n"/>
      <c r="AE3" s="1" t="n">
        <v>5.3486314</v>
      </c>
      <c r="AF3" s="1" t="n"/>
      <c r="AG3" s="1" t="n"/>
      <c r="AH3" s="1" t="n"/>
      <c r="AI3" s="1" t="n">
        <v>0.6959829</v>
      </c>
      <c r="AJ3" s="1" t="n">
        <v>0.6959829</v>
      </c>
      <c r="AK3" s="1" t="n">
        <v>-1.5008302</v>
      </c>
      <c r="AL3" s="1" t="inlineStr">
        <is>
          <t>Equity Scheme - Dividend Yield Fund</t>
        </is>
      </c>
      <c r="AM3" s="1" t="n">
        <v>2.13</v>
      </c>
      <c r="AN3" s="1" t="n">
        <v>0</v>
      </c>
      <c r="AO3" s="1" t="n">
        <v>0.05</v>
      </c>
      <c r="AP3" s="1" t="n">
        <v>0.16</v>
      </c>
      <c r="AQ3" s="1" t="n">
        <v>2.34</v>
      </c>
      <c r="AR3" s="1" t="n">
        <v>0.92</v>
      </c>
      <c r="AS3" s="1" t="n">
        <v>0</v>
      </c>
      <c r="AT3" s="1" t="n">
        <v>0.05</v>
      </c>
      <c r="AU3" s="1" t="n">
        <v>0.16</v>
      </c>
      <c r="AV3" s="1" t="n">
        <v>1.13</v>
      </c>
      <c r="AW3" s="17" t="n">
        <v>5.871462916061344</v>
      </c>
      <c r="AX3" s="18" t="inlineStr">
        <is>
          <t>-46cr</t>
        </is>
      </c>
      <c r="AY3" s="26" t="n">
        <v>1.16863098210566</v>
      </c>
      <c r="AZ3" s="26" t="n">
        <v>1.193188093213216</v>
      </c>
      <c r="BA3" s="26" t="n">
        <v>0.4468375491491287</v>
      </c>
      <c r="BB3" s="28" t="n">
        <v>3</v>
      </c>
      <c r="BC3" t="n">
        <v>1</v>
      </c>
      <c r="BD3" t="n">
        <v>1</v>
      </c>
      <c r="BE3" t="n">
        <v>0</v>
      </c>
      <c r="BF3" t="n">
        <v>0</v>
      </c>
      <c r="BG3" t="n">
        <v>0</v>
      </c>
      <c r="BH3" t="n">
        <v>1</v>
      </c>
    </row>
    <row r="4">
      <c r="A4" s="1" t="inlineStr">
        <is>
          <t>Franklin India Dividend Yield Fund</t>
        </is>
      </c>
      <c r="B4" s="1" t="inlineStr">
        <is>
          <t>dividend yield</t>
        </is>
      </c>
      <c r="C4" s="1" t="inlineStr">
        <is>
          <t>Nifty 500 TRI</t>
        </is>
      </c>
      <c r="D4" s="1" t="inlineStr">
        <is>
          <t>Very High</t>
        </is>
      </c>
      <c r="E4" s="1" t="inlineStr">
        <is>
          <t>Very High</t>
        </is>
      </c>
      <c r="F4" s="7" t="n">
        <v>46023</v>
      </c>
      <c r="G4" s="1" t="n">
        <v>140.3731</v>
      </c>
      <c r="H4" s="1" t="n">
        <v>154.2342</v>
      </c>
      <c r="I4" s="1" t="n">
        <v>2.323801</v>
      </c>
      <c r="J4" s="1" t="n">
        <v>-5.095227299999999</v>
      </c>
      <c r="K4" s="1" t="n">
        <v>7.4190283</v>
      </c>
      <c r="L4" s="1" t="n">
        <v>18.756603</v>
      </c>
      <c r="M4" s="1" t="n">
        <v>2.034374</v>
      </c>
      <c r="N4" s="1" t="n">
        <v>16.722229</v>
      </c>
      <c r="O4" s="1" t="n">
        <v>20.536167</v>
      </c>
      <c r="P4" s="1" t="n">
        <v>3.747450000000001</v>
      </c>
      <c r="Q4" s="1" t="n">
        <v>16.788717</v>
      </c>
      <c r="R4" s="1" t="n">
        <v>16.43698</v>
      </c>
      <c r="S4" s="1" t="n">
        <v>1.704040999999998</v>
      </c>
      <c r="T4" s="1" t="n">
        <v>14.732939</v>
      </c>
      <c r="U4" s="1" t="n">
        <v>15.60956</v>
      </c>
      <c r="V4" s="1" t="n">
        <v>2404.1</v>
      </c>
      <c r="W4" s="1" t="n">
        <v>-0.988381820194331</v>
      </c>
      <c r="X4" s="1" t="n">
        <v>-1.150238750523945</v>
      </c>
      <c r="Y4" s="1" t="n">
        <v>0.1634351467764795</v>
      </c>
      <c r="Z4" s="1" t="n">
        <v>0.05216535746463548</v>
      </c>
      <c r="AA4" s="1" t="n">
        <v>0.2901263477337521</v>
      </c>
      <c r="AB4" s="1" t="n">
        <v>0.140830114270175</v>
      </c>
      <c r="AC4" s="1" t="n">
        <v>0.4436526387880335</v>
      </c>
      <c r="AD4" s="1" t="n">
        <v>0.3243503320651737</v>
      </c>
      <c r="AE4" s="1" t="n">
        <v>1.4616457</v>
      </c>
      <c r="AF4" s="1" t="n">
        <v>15.534415</v>
      </c>
      <c r="AG4" s="1" t="n">
        <v>17.754898</v>
      </c>
      <c r="AH4" s="1" t="n">
        <v>19.586857</v>
      </c>
      <c r="AI4" s="1" t="n">
        <v>12.660733</v>
      </c>
      <c r="AJ4" s="1" t="n">
        <v>14.41386</v>
      </c>
      <c r="AK4" s="1" t="n">
        <v>14.398562</v>
      </c>
      <c r="AL4" s="1" t="inlineStr">
        <is>
          <t>Equity Scheme - Dividend Yield Fund</t>
        </is>
      </c>
      <c r="AM4" s="1" t="n">
        <v>1.86</v>
      </c>
      <c r="AN4" s="1" t="n">
        <v>0</v>
      </c>
      <c r="AO4" s="1" t="n">
        <v>0.05</v>
      </c>
      <c r="AP4" s="1" t="n">
        <v>0.18</v>
      </c>
      <c r="AQ4" s="1" t="n">
        <v>2.09</v>
      </c>
      <c r="AR4" s="1" t="n">
        <v>1.04</v>
      </c>
      <c r="AS4" s="1" t="n">
        <v>0</v>
      </c>
      <c r="AT4" s="1" t="n">
        <v>0.05</v>
      </c>
      <c r="AU4" s="1" t="n">
        <v>0.18</v>
      </c>
      <c r="AV4" s="1" t="n">
        <v>1.27</v>
      </c>
      <c r="AW4" s="17" t="n">
        <v>-0.6630339836113329</v>
      </c>
      <c r="AX4" t="inlineStr">
        <is>
          <t>16cr</t>
        </is>
      </c>
      <c r="AY4" s="26" t="n">
        <v>0.750101318223566</v>
      </c>
      <c r="AZ4" s="26" t="n">
        <v>1.193188093213216</v>
      </c>
      <c r="BA4" s="26" t="n">
        <v>0.4602260059490571</v>
      </c>
      <c r="BB4" s="28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</row>
    <row r="5">
      <c r="A5" s="1" t="inlineStr">
        <is>
          <t>HDFC Dividend Yield Fund</t>
        </is>
      </c>
      <c r="B5" s="1" t="inlineStr">
        <is>
          <t>dividend yield</t>
        </is>
      </c>
      <c r="C5" s="1" t="inlineStr">
        <is>
          <t>Nifty 500 TRI</t>
        </is>
      </c>
      <c r="D5" s="1" t="inlineStr">
        <is>
          <t>Very High</t>
        </is>
      </c>
      <c r="E5" s="1" t="inlineStr">
        <is>
          <t>Very High</t>
        </is>
      </c>
      <c r="F5" s="7" t="n">
        <v>46023</v>
      </c>
      <c r="G5" s="1" t="n">
        <v>25.334</v>
      </c>
      <c r="H5" s="1" t="n">
        <v>27.183</v>
      </c>
      <c r="I5" s="1" t="n">
        <v>4.1175117</v>
      </c>
      <c r="J5" s="1" t="n">
        <v>-3.3015166</v>
      </c>
      <c r="K5" s="1" t="n">
        <v>7.4190283</v>
      </c>
      <c r="L5" s="1" t="n">
        <v>19.805962</v>
      </c>
      <c r="M5" s="1" t="n">
        <v>3.083733000000002</v>
      </c>
      <c r="N5" s="1" t="n">
        <v>16.722229</v>
      </c>
      <c r="O5" s="1" t="n">
        <v>21.894047</v>
      </c>
      <c r="P5" s="1" t="n">
        <v>5.105330000000002</v>
      </c>
      <c r="Q5" s="1" t="n">
        <v>16.788717</v>
      </c>
      <c r="R5" s="1" t="n"/>
      <c r="S5" s="1" t="n"/>
      <c r="T5" s="1" t="n"/>
      <c r="U5" s="1" t="n">
        <v>21.888998</v>
      </c>
      <c r="V5" s="1" t="n">
        <v>6116.73</v>
      </c>
      <c r="W5" s="1" t="n">
        <v>-1.330666164494147</v>
      </c>
      <c r="X5" s="1" t="n">
        <v>-1.7835226934349</v>
      </c>
      <c r="Y5" s="1" t="n"/>
      <c r="Z5" s="1" t="n"/>
      <c r="AA5" s="1" t="n">
        <v>0.9646041749862773</v>
      </c>
      <c r="AB5" s="1" t="n">
        <v>0.5136409648898547</v>
      </c>
      <c r="AC5" s="1" t="n">
        <v>1.108985680860476</v>
      </c>
      <c r="AD5" s="1" t="n">
        <v>0.7430199769667647</v>
      </c>
      <c r="AE5" s="1" t="n">
        <v>2.992113</v>
      </c>
      <c r="AF5" s="1" t="n"/>
      <c r="AG5" s="1" t="n">
        <v>18.341013</v>
      </c>
      <c r="AH5" s="1" t="n">
        <v>20.20633</v>
      </c>
      <c r="AI5" s="1" t="n">
        <v>17.346603</v>
      </c>
      <c r="AJ5" s="1" t="n">
        <v>17.346603</v>
      </c>
      <c r="AK5" s="1" t="n">
        <v>20.201206</v>
      </c>
      <c r="AL5" s="1" t="inlineStr">
        <is>
          <t>Equity Scheme - Dividend Yield Fund</t>
        </is>
      </c>
      <c r="AM5" s="1" t="n">
        <v>1.69</v>
      </c>
      <c r="AN5" s="1" t="n">
        <v>0</v>
      </c>
      <c r="AO5" s="1" t="n">
        <v>0.05</v>
      </c>
      <c r="AP5" s="1" t="n">
        <v>0.1</v>
      </c>
      <c r="AQ5" s="1" t="n">
        <v>1.84</v>
      </c>
      <c r="AR5" s="1" t="n">
        <v>0.5600000000000001</v>
      </c>
      <c r="AS5" s="1" t="n">
        <v>0</v>
      </c>
      <c r="AT5" s="1" t="n">
        <v>0.05</v>
      </c>
      <c r="AU5" s="1" t="n">
        <v>0.1</v>
      </c>
      <c r="AV5" s="1" t="n">
        <v>0.71</v>
      </c>
      <c r="AW5" s="17" t="n">
        <v>2.07659975182819</v>
      </c>
      <c r="AX5" s="18" t="inlineStr">
        <is>
          <t>-127cr</t>
        </is>
      </c>
      <c r="AY5" s="26" t="n">
        <v>1.044240780036372</v>
      </c>
      <c r="AZ5" s="26" t="n">
        <v>1.193188093213216</v>
      </c>
      <c r="BA5" s="26" t="n">
        <v>0.492043588223224</v>
      </c>
      <c r="BB5" s="28" t="n">
        <v>3</v>
      </c>
      <c r="BC5" t="n">
        <v>0</v>
      </c>
      <c r="BD5" t="n">
        <v>1</v>
      </c>
      <c r="BE5" t="n">
        <v>1</v>
      </c>
      <c r="BF5" t="n">
        <v>0</v>
      </c>
      <c r="BG5" t="n">
        <v>0</v>
      </c>
      <c r="BH5" t="n">
        <v>1</v>
      </c>
    </row>
    <row r="6">
      <c r="A6" s="1" t="inlineStr">
        <is>
          <t>ICICI Prudential Dividend Yield Equity Fund</t>
        </is>
      </c>
      <c r="B6" s="1" t="inlineStr">
        <is>
          <t>dividend yield</t>
        </is>
      </c>
      <c r="C6" s="1" t="inlineStr">
        <is>
          <t>Nifty 500 TRI</t>
        </is>
      </c>
      <c r="D6" s="1" t="inlineStr">
        <is>
          <t>Very High</t>
        </is>
      </c>
      <c r="E6" s="1" t="inlineStr">
        <is>
          <t>Very High</t>
        </is>
      </c>
      <c r="F6" s="7" t="n">
        <v>46023</v>
      </c>
      <c r="G6" s="1" t="n">
        <v>55</v>
      </c>
      <c r="H6" s="1" t="n">
        <v>61.69</v>
      </c>
      <c r="I6" s="1" t="n">
        <v>13.006045</v>
      </c>
      <c r="J6" s="1" t="n">
        <v>5.5870167</v>
      </c>
      <c r="K6" s="1" t="n">
        <v>7.4190283</v>
      </c>
      <c r="L6" s="1" t="n">
        <v>25.102184</v>
      </c>
      <c r="M6" s="1" t="n">
        <v>8.379955000000002</v>
      </c>
      <c r="N6" s="1" t="n">
        <v>16.722229</v>
      </c>
      <c r="O6" s="1" t="n">
        <v>26.304163</v>
      </c>
      <c r="P6" s="1" t="n">
        <v>9.515446000000001</v>
      </c>
      <c r="Q6" s="1" t="n">
        <v>16.788717</v>
      </c>
      <c r="R6" s="1" t="n">
        <v>17.482574</v>
      </c>
      <c r="S6" s="1" t="n">
        <v>2.749635</v>
      </c>
      <c r="T6" s="1" t="n">
        <v>14.732939</v>
      </c>
      <c r="U6" s="1" t="n">
        <v>16.922329</v>
      </c>
      <c r="V6" s="1" t="n">
        <v>6419.82</v>
      </c>
      <c r="W6" s="1" t="n">
        <v>1.299019155535985</v>
      </c>
      <c r="X6" s="1" t="n">
        <v>0.9632954613284936</v>
      </c>
      <c r="Y6" s="1" t="n">
        <v>0.3246950817368229</v>
      </c>
      <c r="Z6" s="1" t="n">
        <v>0.1709249652887976</v>
      </c>
      <c r="AA6" s="1" t="n">
        <v>1.825697061578079</v>
      </c>
      <c r="AB6" s="1" t="n">
        <v>1.468761066426866</v>
      </c>
      <c r="AC6" s="1" t="n">
        <v>1.526078889107785</v>
      </c>
      <c r="AD6" s="1" t="n">
        <v>1.267508943400793</v>
      </c>
      <c r="AE6" s="1" t="n">
        <v>11.607142</v>
      </c>
      <c r="AF6" s="1" t="n">
        <v>16.285292</v>
      </c>
      <c r="AG6" s="1" t="n">
        <v>23.440866</v>
      </c>
      <c r="AH6" s="1" t="n">
        <v>24.657936</v>
      </c>
      <c r="AI6" s="1" t="n">
        <v>14.445925</v>
      </c>
      <c r="AJ6" s="1" t="n">
        <v>14.445925</v>
      </c>
      <c r="AK6" s="1" t="n">
        <v>15.7747965</v>
      </c>
      <c r="AL6" s="1" t="inlineStr">
        <is>
          <t>Equity Scheme - Dividend Yield Fund</t>
        </is>
      </c>
      <c r="AM6" s="1" t="n">
        <v>1.67</v>
      </c>
      <c r="AN6" s="1" t="n">
        <v>0</v>
      </c>
      <c r="AO6" s="1" t="n">
        <v>0.05</v>
      </c>
      <c r="AP6" s="1" t="n">
        <v>0.08</v>
      </c>
      <c r="AQ6" s="1" t="n">
        <v>1.8</v>
      </c>
      <c r="AR6" s="1" t="n">
        <v>0.44</v>
      </c>
      <c r="AS6" s="1" t="n">
        <v>0</v>
      </c>
      <c r="AT6" s="1" t="n">
        <v>0.05</v>
      </c>
      <c r="AU6" s="1" t="n">
        <v>0.08</v>
      </c>
      <c r="AV6" s="1" t="n">
        <v>0.57</v>
      </c>
      <c r="AW6" s="17" t="n">
        <v>-0.9715225660532522</v>
      </c>
      <c r="AX6" t="inlineStr">
        <is>
          <t>62cr</t>
        </is>
      </c>
      <c r="AY6" s="26" t="n">
        <v>1.264499975064215</v>
      </c>
      <c r="AZ6" s="26" t="n">
        <v>1.193188093213216</v>
      </c>
      <c r="BA6" s="26" t="n">
        <v>0.4580531835604986</v>
      </c>
      <c r="BB6" s="28" t="n">
        <v>4</v>
      </c>
      <c r="BC6" t="n">
        <v>1</v>
      </c>
      <c r="BD6" t="n">
        <v>0</v>
      </c>
      <c r="BE6" t="n">
        <v>1</v>
      </c>
      <c r="BF6" t="n">
        <v>1</v>
      </c>
      <c r="BG6" t="n">
        <v>1</v>
      </c>
      <c r="BH6" t="n">
        <v>0</v>
      </c>
    </row>
    <row r="7">
      <c r="A7" s="1" t="inlineStr">
        <is>
          <t>LIC MF Dividend Yield Fund</t>
        </is>
      </c>
      <c r="B7" s="1" t="inlineStr">
        <is>
          <t>dividend yield</t>
        </is>
      </c>
      <c r="C7" s="1" t="inlineStr">
        <is>
          <t>Nifty 500 TRI</t>
        </is>
      </c>
      <c r="D7" s="1" t="inlineStr">
        <is>
          <t>Very High</t>
        </is>
      </c>
      <c r="E7" s="1" t="inlineStr">
        <is>
          <t>Very High</t>
        </is>
      </c>
      <c r="F7" s="7" t="n">
        <v>46023</v>
      </c>
      <c r="G7" s="1" t="n">
        <v>30.8772</v>
      </c>
      <c r="H7" s="1" t="n">
        <v>33.7367</v>
      </c>
      <c r="I7" s="1" t="n">
        <v>2.9917543</v>
      </c>
      <c r="J7" s="1" t="n">
        <v>-4.427274</v>
      </c>
      <c r="K7" s="1" t="n">
        <v>7.4190283</v>
      </c>
      <c r="L7" s="1" t="n">
        <v>22.749668</v>
      </c>
      <c r="M7" s="1" t="n">
        <v>6.027439000000001</v>
      </c>
      <c r="N7" s="1" t="n">
        <v>16.722229</v>
      </c>
      <c r="O7" s="1" t="n">
        <v>19.323484</v>
      </c>
      <c r="P7" s="1" t="n">
        <v>2.534767000000002</v>
      </c>
      <c r="Q7" s="1" t="n">
        <v>16.788717</v>
      </c>
      <c r="R7" s="1" t="n"/>
      <c r="S7" s="1" t="n"/>
      <c r="T7" s="1" t="n"/>
      <c r="U7" s="1" t="n">
        <v>18.867002</v>
      </c>
      <c r="V7" s="1" t="n">
        <v>685.4299999999999</v>
      </c>
      <c r="W7" s="1" t="n">
        <v>-0.7724717021116834</v>
      </c>
      <c r="X7" s="1" t="n">
        <v>-1.112031743718997</v>
      </c>
      <c r="Y7" s="1" t="n"/>
      <c r="Z7" s="1" t="n"/>
      <c r="AA7" s="1" t="n">
        <v>1.064020616828353</v>
      </c>
      <c r="AB7" s="1" t="n">
        <v>0.8040851299689284</v>
      </c>
      <c r="AC7" s="1" t="n">
        <v>0.4214139749452909</v>
      </c>
      <c r="AD7" s="1" t="n">
        <v>0.1978883707693176</v>
      </c>
      <c r="AE7" s="1" t="n">
        <v>1.2413684</v>
      </c>
      <c r="AF7" s="1" t="n"/>
      <c r="AG7" s="1" t="n">
        <v>21.190338</v>
      </c>
      <c r="AH7" s="1" t="n">
        <v>17.948647</v>
      </c>
      <c r="AI7" s="1" t="n">
        <v>15.956747</v>
      </c>
      <c r="AJ7" s="1" t="n">
        <v>15.956747</v>
      </c>
      <c r="AK7" s="1" t="n">
        <v>17.380018</v>
      </c>
      <c r="AL7" s="1" t="inlineStr">
        <is>
          <t>Equity Scheme - Dividend Yield Fund</t>
        </is>
      </c>
      <c r="AM7" s="1" t="n">
        <v>2.19</v>
      </c>
      <c r="AN7" s="1" t="n">
        <v>0</v>
      </c>
      <c r="AO7" s="1" t="n">
        <v>0.05</v>
      </c>
      <c r="AP7" s="1" t="n">
        <v>0.09</v>
      </c>
      <c r="AQ7" s="1" t="n">
        <v>2.33</v>
      </c>
      <c r="AR7" s="1" t="n">
        <v>0.63</v>
      </c>
      <c r="AS7" s="1" t="n">
        <v>0</v>
      </c>
      <c r="AT7" s="1" t="n">
        <v>0.05</v>
      </c>
      <c r="AU7" s="1" t="n">
        <v>0.09</v>
      </c>
      <c r="AV7" s="1" t="n">
        <v>0.77</v>
      </c>
      <c r="AW7" s="17" t="n">
        <v>1.836803174649495</v>
      </c>
      <c r="AX7" s="18" t="inlineStr">
        <is>
          <t>-13cr</t>
        </is>
      </c>
      <c r="AY7" s="26" t="n">
        <v>1.171636822687284</v>
      </c>
      <c r="AZ7" s="26" t="n">
        <v>1.193188093213216</v>
      </c>
      <c r="BA7" s="26" t="n">
        <v>0.612082479475882</v>
      </c>
      <c r="BB7" s="28" t="n">
        <v>3</v>
      </c>
      <c r="BC7" t="n">
        <v>0</v>
      </c>
      <c r="BD7" t="n">
        <v>1</v>
      </c>
      <c r="BE7" t="n">
        <v>1</v>
      </c>
      <c r="BF7" t="n">
        <v>0</v>
      </c>
      <c r="BG7" t="n">
        <v>0</v>
      </c>
      <c r="BH7" t="n">
        <v>1</v>
      </c>
    </row>
    <row r="8">
      <c r="A8" s="1" t="inlineStr">
        <is>
          <t>SBI Dividend Yield Fund</t>
        </is>
      </c>
      <c r="B8" s="1" t="inlineStr">
        <is>
          <t>dividend yield</t>
        </is>
      </c>
      <c r="C8" s="1" t="inlineStr">
        <is>
          <t>Nifty 500 TRI</t>
        </is>
      </c>
      <c r="D8" s="1" t="inlineStr">
        <is>
          <t>Very High</t>
        </is>
      </c>
      <c r="E8" s="1" t="inlineStr">
        <is>
          <t>Very High</t>
        </is>
      </c>
      <c r="F8" s="7" t="n">
        <v>46023</v>
      </c>
      <c r="G8" s="1" t="n">
        <v>15.6243</v>
      </c>
      <c r="H8" s="1" t="n">
        <v>16.0825</v>
      </c>
      <c r="I8" s="1" t="n">
        <v>6.5870924</v>
      </c>
      <c r="J8" s="1" t="n">
        <v>-0.8319358999999995</v>
      </c>
      <c r="K8" s="1" t="n">
        <v>7.4190283</v>
      </c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>
        <v>18.4551</v>
      </c>
      <c r="V8" s="1" t="n">
        <v>9097.49</v>
      </c>
      <c r="W8" s="1" t="n">
        <v>-0.2613836334818466</v>
      </c>
      <c r="X8" s="1" t="n">
        <v>-0.5096112938579898</v>
      </c>
      <c r="Y8" s="1" t="n"/>
      <c r="Z8" s="1" t="n"/>
      <c r="AA8" s="1" t="n"/>
      <c r="AB8" s="1" t="n"/>
      <c r="AC8" s="1" t="n"/>
      <c r="AD8" s="1" t="n"/>
      <c r="AE8" s="1" t="n">
        <v>5.55747</v>
      </c>
      <c r="AF8" s="1" t="n"/>
      <c r="AG8" s="1" t="n"/>
      <c r="AH8" s="1" t="n"/>
      <c r="AI8" s="1" t="n">
        <v>21.1102</v>
      </c>
      <c r="AJ8" s="1" t="n">
        <v>21.1102</v>
      </c>
      <c r="AK8" s="1" t="n">
        <v>17.240944</v>
      </c>
      <c r="AL8" s="1" t="inlineStr">
        <is>
          <t>Equity Scheme - Dividend Yield Fund</t>
        </is>
      </c>
      <c r="AM8" s="1" t="n">
        <v>1.62</v>
      </c>
      <c r="AN8" s="1" t="n">
        <v>0</v>
      </c>
      <c r="AO8" s="1" t="n">
        <v>0.05</v>
      </c>
      <c r="AP8" s="1" t="n">
        <v>0.12</v>
      </c>
      <c r="AQ8" s="1" t="n">
        <v>1.79</v>
      </c>
      <c r="AR8" s="1" t="n">
        <v>0.66</v>
      </c>
      <c r="AS8" s="1" t="n">
        <v>0</v>
      </c>
      <c r="AT8" s="1" t="n">
        <v>0.05</v>
      </c>
      <c r="AU8" s="1" t="n">
        <v>0.12</v>
      </c>
      <c r="AV8" s="1" t="n">
        <v>0.83</v>
      </c>
      <c r="AW8" s="17" t="n">
        <v>1.035450437428354</v>
      </c>
      <c r="AX8" s="18" t="inlineStr">
        <is>
          <t>-94cr</t>
        </is>
      </c>
      <c r="AY8" s="26" t="n">
        <v>1.083579125019083</v>
      </c>
      <c r="AZ8" s="26" t="n">
        <v>1.193188093213216</v>
      </c>
      <c r="BA8" s="26" t="n">
        <v>0.4191524945307168</v>
      </c>
      <c r="BB8" s="28" t="n">
        <v>4</v>
      </c>
      <c r="BC8" t="n">
        <v>1</v>
      </c>
      <c r="BD8" t="n">
        <v>1</v>
      </c>
      <c r="BE8" t="n">
        <v>1</v>
      </c>
      <c r="BF8" t="n">
        <v>0</v>
      </c>
      <c r="BG8" t="n">
        <v>0</v>
      </c>
      <c r="BH8" t="n">
        <v>1</v>
      </c>
    </row>
    <row r="9" ht="16" customHeight="1">
      <c r="A9" s="1" t="inlineStr">
        <is>
          <t>Tata Dividend Yield Fund</t>
        </is>
      </c>
      <c r="B9" s="1" t="inlineStr">
        <is>
          <t>dividend yield</t>
        </is>
      </c>
      <c r="C9" s="1" t="inlineStr">
        <is>
          <t>Nifty 500 TRI</t>
        </is>
      </c>
      <c r="D9" s="1" t="inlineStr">
        <is>
          <t>Very High</t>
        </is>
      </c>
      <c r="E9" s="1" t="inlineStr">
        <is>
          <t>Very High</t>
        </is>
      </c>
      <c r="F9" s="7" t="n">
        <v>46023</v>
      </c>
      <c r="G9" s="1" t="n">
        <v>18.9374</v>
      </c>
      <c r="H9" s="1" t="n">
        <v>20.535</v>
      </c>
      <c r="I9" s="1" t="n">
        <v>10.239644</v>
      </c>
      <c r="J9" s="1" t="n">
        <v>2.8206157</v>
      </c>
      <c r="K9" s="1" t="n">
        <v>7.4190283</v>
      </c>
      <c r="L9" s="1" t="n">
        <v>20.170544</v>
      </c>
      <c r="M9" s="1" t="n">
        <v>3.448315000000001</v>
      </c>
      <c r="N9" s="1" t="n">
        <v>16.722229</v>
      </c>
      <c r="O9" s="1" t="n"/>
      <c r="P9" s="1" t="n"/>
      <c r="Q9" s="1" t="n"/>
      <c r="R9" s="1" t="n"/>
      <c r="S9" s="1" t="n"/>
      <c r="T9" s="1" t="n"/>
      <c r="U9" s="1" t="n">
        <v>16.845362</v>
      </c>
      <c r="V9" s="1" t="n">
        <v>1025.89</v>
      </c>
      <c r="W9" s="1" t="n">
        <v>0.646540280789806</v>
      </c>
      <c r="X9" s="1" t="n">
        <v>0.2720565710444867</v>
      </c>
      <c r="Y9" s="1" t="n"/>
      <c r="Z9" s="1" t="n"/>
      <c r="AA9" s="1" t="n">
        <v>0.7098958780325907</v>
      </c>
      <c r="AB9" s="1" t="n">
        <v>0.3242948479736736</v>
      </c>
      <c r="AC9" s="1" t="n"/>
      <c r="AD9" s="1" t="n"/>
      <c r="AE9" s="1" t="n">
        <v>8.455415</v>
      </c>
      <c r="AF9" s="1" t="n"/>
      <c r="AG9" s="1" t="n">
        <v>18.123684</v>
      </c>
      <c r="AH9" s="1" t="n"/>
      <c r="AI9" s="1" t="n">
        <v>15.8043785</v>
      </c>
      <c r="AJ9" s="1" t="n">
        <v>15.8043785</v>
      </c>
      <c r="AK9" s="1" t="n">
        <v>14.815664</v>
      </c>
      <c r="AL9" s="1" t="inlineStr">
        <is>
          <t>Equity Scheme - Dividend Yield Fund</t>
        </is>
      </c>
      <c r="AM9" s="1" t="n">
        <v>2.06</v>
      </c>
      <c r="AN9" s="1" t="n">
        <v>0</v>
      </c>
      <c r="AO9" s="1" t="n">
        <v>0.05</v>
      </c>
      <c r="AP9" s="1" t="n">
        <v>0.07000000000000001</v>
      </c>
      <c r="AQ9" s="1" t="n">
        <v>2.18</v>
      </c>
      <c r="AR9" s="1" t="n">
        <v>0.49</v>
      </c>
      <c r="AS9" s="1" t="n">
        <v>0</v>
      </c>
      <c r="AT9" s="1" t="n">
        <v>0.05</v>
      </c>
      <c r="AU9" s="1" t="n">
        <v>0.07000000000000001</v>
      </c>
      <c r="AV9" s="1" t="n">
        <v>0.61</v>
      </c>
      <c r="AW9" s="17" t="n">
        <v>0.1520630866857017</v>
      </c>
      <c r="AX9" s="18" t="inlineStr">
        <is>
          <t>-2cr</t>
        </is>
      </c>
      <c r="AY9" s="26" t="n">
        <v>1.677034921975258</v>
      </c>
      <c r="AZ9" s="26" t="n">
        <v>1.193188093213216</v>
      </c>
      <c r="BA9" s="26" t="n">
        <v>0.5773867646116435</v>
      </c>
      <c r="BB9" s="28" t="n">
        <v>4</v>
      </c>
      <c r="BC9" t="n">
        <v>1</v>
      </c>
      <c r="BD9" t="n">
        <v>1</v>
      </c>
      <c r="BE9" t="n">
        <v>1</v>
      </c>
      <c r="BF9" t="n">
        <v>1</v>
      </c>
      <c r="BG9" t="n">
        <v>0</v>
      </c>
      <c r="BH9" t="n">
        <v>0</v>
      </c>
    </row>
    <row r="10" ht="16" customHeight="1">
      <c r="A10" s="15" t="inlineStr">
        <is>
          <t>category_avg_dividend</t>
        </is>
      </c>
      <c r="B10" s="15" t="n"/>
      <c r="C10" s="15" t="n"/>
      <c r="D10" s="15" t="n"/>
      <c r="E10" s="15" t="n"/>
      <c r="F10" s="16" t="n"/>
      <c r="G10" s="15" t="n"/>
      <c r="H10" s="15">
        <f>AVERAGE(H2:H9)</f>
        <v/>
      </c>
      <c r="I10" s="27" t="n">
        <v>6.133590275</v>
      </c>
      <c r="K10" s="27" t="n">
        <v>7.4190283</v>
      </c>
      <c r="L10" s="27" t="n">
        <v>21.12763016666667</v>
      </c>
      <c r="N10" s="27" t="n">
        <v>16.722229</v>
      </c>
      <c r="O10" s="27" t="n">
        <v>21.6469828</v>
      </c>
      <c r="Q10" s="27" t="n">
        <v>16.788717</v>
      </c>
      <c r="R10" s="27" t="n">
        <v>15.91886366666667</v>
      </c>
      <c r="T10" s="27" t="n">
        <v>14.732939</v>
      </c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>
        <f>AVERAGE(AA2:AA9)</f>
        <v/>
      </c>
      <c r="AF10" s="15">
        <f>AVERAGE(AB2:AB9)</f>
        <v/>
      </c>
      <c r="AG10" s="15">
        <f>AVERAGE(AC2:AC9)</f>
        <v/>
      </c>
      <c r="AH10" s="15">
        <f>AVERAGE(AD2:AD9)</f>
        <v/>
      </c>
      <c r="AI10" s="15">
        <f>AVERAGE(AE2:AE9)</f>
        <v/>
      </c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25" t="n">
        <v>0.905</v>
      </c>
      <c r="AZ10" s="26" t="n">
        <v>1.193188093213216</v>
      </c>
    </row>
    <row r="11">
      <c r="A11" s="8" t="inlineStr">
        <is>
          <t>Aditya Birla Sun Life ELSS Tax Saver Fund</t>
        </is>
      </c>
      <c r="B11" s="8" t="inlineStr">
        <is>
          <t>ELSS</t>
        </is>
      </c>
      <c r="C11" s="8" t="inlineStr">
        <is>
          <t>Nifty 500 TRI</t>
        </is>
      </c>
      <c r="D11" s="8" t="inlineStr">
        <is>
          <t>Very High</t>
        </is>
      </c>
      <c r="E11" s="8" t="inlineStr">
        <is>
          <t>Very High</t>
        </is>
      </c>
      <c r="F11" s="9" t="n">
        <v>46023</v>
      </c>
      <c r="G11" s="8" t="n">
        <v>62.61</v>
      </c>
      <c r="H11" s="8" t="n">
        <v>70.09999999999999</v>
      </c>
      <c r="I11" s="8" t="n">
        <v>10.498109</v>
      </c>
      <c r="J11" s="8" t="n">
        <v>3.0790807</v>
      </c>
      <c r="K11" s="8" t="n">
        <v>7.4190283</v>
      </c>
      <c r="L11" s="8" t="n">
        <v>15.76485</v>
      </c>
      <c r="M11" s="8" t="n">
        <v>-0.9573789999999995</v>
      </c>
      <c r="N11" s="8" t="n">
        <v>16.722229</v>
      </c>
      <c r="O11" s="8" t="n">
        <v>11.789653</v>
      </c>
      <c r="P11" s="8" t="n">
        <v>-4.999063999999999</v>
      </c>
      <c r="Q11" s="8" t="n">
        <v>16.788717</v>
      </c>
      <c r="R11" s="8" t="n">
        <v>12.049405</v>
      </c>
      <c r="S11" s="8" t="n">
        <v>-2.683534</v>
      </c>
      <c r="T11" s="8" t="n">
        <v>14.732939</v>
      </c>
      <c r="U11" s="8" t="n">
        <v>14.506041</v>
      </c>
      <c r="V11" s="8" t="n">
        <v>15468.71</v>
      </c>
      <c r="W11" s="8" t="n">
        <v>0.9971362130307116</v>
      </c>
      <c r="X11" s="8" t="n">
        <v>0.7341674785804767</v>
      </c>
      <c r="Y11" s="8" t="n">
        <v>-0.5568003109971448</v>
      </c>
      <c r="Z11" s="8" t="n">
        <v>-0.7480244297867353</v>
      </c>
      <c r="AA11" s="8" t="n">
        <v>-0.3274496205810117</v>
      </c>
      <c r="AB11" s="8" t="n">
        <v>-0.5882396830347782</v>
      </c>
      <c r="AC11" s="8" t="n">
        <v>-1.194672543873516</v>
      </c>
      <c r="AD11" s="8" t="n">
        <v>-1.397994021893951</v>
      </c>
      <c r="AE11" s="8" t="n">
        <v>9.707376500000001</v>
      </c>
      <c r="AF11" s="8" t="n">
        <v>11.0461</v>
      </c>
      <c r="AG11" s="8" t="n">
        <v>14.897758</v>
      </c>
      <c r="AH11" s="8" t="n">
        <v>10.919754</v>
      </c>
      <c r="AI11" s="8" t="n">
        <v>11.921657</v>
      </c>
      <c r="AJ11" s="8" t="n">
        <v>14.357214</v>
      </c>
      <c r="AK11" s="8" t="n">
        <v>10.833935</v>
      </c>
      <c r="AL11" s="8" t="inlineStr">
        <is>
          <t>Equity Scheme - ELSS</t>
        </is>
      </c>
      <c r="AM11" s="8" t="n">
        <v>1.56</v>
      </c>
      <c r="AN11" s="8" t="n">
        <v>0</v>
      </c>
      <c r="AO11" s="8" t="n">
        <v>0</v>
      </c>
      <c r="AP11" s="8" t="n">
        <v>0.13</v>
      </c>
      <c r="AQ11" s="8" t="n">
        <v>1.69</v>
      </c>
      <c r="AR11" s="8" t="n">
        <v>0.83</v>
      </c>
      <c r="AS11" s="8" t="n">
        <v>0</v>
      </c>
      <c r="AT11" s="8" t="n">
        <v>0</v>
      </c>
      <c r="AU11" s="8" t="n">
        <v>0.13</v>
      </c>
      <c r="AV11" s="8" t="n">
        <v>0.96</v>
      </c>
      <c r="AW11" s="17" t="n">
        <v>1.538525190529796</v>
      </c>
      <c r="AX11" s="18" t="inlineStr">
        <is>
          <t>-238cr</t>
        </is>
      </c>
      <c r="AY11" s="26" t="n">
        <v>1.199422948006234</v>
      </c>
      <c r="AZ11" s="26" t="n">
        <v>1.277701427086964</v>
      </c>
      <c r="BA11" s="26" t="n">
        <v>0.4596000695644005</v>
      </c>
      <c r="BB11" s="28" t="n">
        <v>4</v>
      </c>
      <c r="BC11" t="n">
        <v>1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</row>
    <row r="12">
      <c r="A12" s="8" t="inlineStr">
        <is>
          <t>Axis ELSS Tax Saver Fund</t>
        </is>
      </c>
      <c r="B12" s="8" t="inlineStr">
        <is>
          <t>ELSS</t>
        </is>
      </c>
      <c r="C12" s="8" t="inlineStr">
        <is>
          <t>Nifty 500 TRI</t>
        </is>
      </c>
      <c r="D12" s="8" t="inlineStr">
        <is>
          <t>Very High</t>
        </is>
      </c>
      <c r="E12" s="8" t="inlineStr">
        <is>
          <t>Very High</t>
        </is>
      </c>
      <c r="F12" s="9" t="n">
        <v>46023</v>
      </c>
      <c r="G12" s="8" t="n">
        <v>97.5652</v>
      </c>
      <c r="H12" s="8" t="n">
        <v>110.5516</v>
      </c>
      <c r="I12" s="8" t="n">
        <v>5.077284</v>
      </c>
      <c r="J12" s="8" t="n">
        <v>-2.3417443</v>
      </c>
      <c r="K12" s="8" t="n">
        <v>7.4190283</v>
      </c>
      <c r="L12" s="8" t="n">
        <v>15.260606</v>
      </c>
      <c r="M12" s="8" t="n">
        <v>-1.461622999999999</v>
      </c>
      <c r="N12" s="8" t="n">
        <v>16.722229</v>
      </c>
      <c r="O12" s="8" t="n">
        <v>11.206229</v>
      </c>
      <c r="P12" s="8" t="n">
        <v>-5.582487999999998</v>
      </c>
      <c r="Q12" s="8" t="n">
        <v>16.788717</v>
      </c>
      <c r="R12" s="8" t="n">
        <v>13.217383</v>
      </c>
      <c r="S12" s="8" t="n">
        <v>-1.515556</v>
      </c>
      <c r="T12" s="8" t="n">
        <v>14.732939</v>
      </c>
      <c r="U12" s="8" t="n">
        <v>16.585453</v>
      </c>
      <c r="V12" s="8" t="n">
        <v>34248.36</v>
      </c>
      <c r="W12" s="8" t="n">
        <v>-0.7751940934635334</v>
      </c>
      <c r="X12" s="8" t="n">
        <v>-1.02200620901688</v>
      </c>
      <c r="Y12" s="8" t="n">
        <v>-0.2560229764450561</v>
      </c>
      <c r="Z12" s="8" t="n">
        <v>-0.4151005606411829</v>
      </c>
      <c r="AA12" s="8" t="n">
        <v>-0.2796406394713016</v>
      </c>
      <c r="AB12" s="8" t="n">
        <v>-0.4306505379124879</v>
      </c>
      <c r="AC12" s="8" t="n">
        <v>-0.9049050116891038</v>
      </c>
      <c r="AD12" s="8" t="n">
        <v>-1.048726874661509</v>
      </c>
      <c r="AE12" s="8" t="n">
        <v>4.3136683</v>
      </c>
      <c r="AF12" s="8" t="n">
        <v>12.218716</v>
      </c>
      <c r="AG12" s="8" t="n">
        <v>14.4066925</v>
      </c>
      <c r="AH12" s="8" t="n">
        <v>10.337896</v>
      </c>
      <c r="AI12" s="8" t="n">
        <v>12.517737</v>
      </c>
      <c r="AJ12" s="8" t="n">
        <v>14.357214</v>
      </c>
      <c r="AK12" s="8" t="n">
        <v>15.280781</v>
      </c>
      <c r="AL12" s="8" t="inlineStr">
        <is>
          <t>Equity Scheme - ELSS</t>
        </is>
      </c>
      <c r="AM12" s="8" t="n">
        <v>1.43</v>
      </c>
      <c r="AN12" s="8" t="n">
        <v>0</v>
      </c>
      <c r="AO12" s="8" t="n">
        <v>0</v>
      </c>
      <c r="AP12" s="8" t="n">
        <v>0.11</v>
      </c>
      <c r="AQ12" s="8" t="n">
        <v>1.54</v>
      </c>
      <c r="AR12" s="8" t="n">
        <v>0.7</v>
      </c>
      <c r="AS12" s="8" t="n">
        <v>0</v>
      </c>
      <c r="AT12" s="8" t="n">
        <v>0</v>
      </c>
      <c r="AU12" s="8" t="n">
        <v>0.11</v>
      </c>
      <c r="AV12" s="8" t="n">
        <v>0.8100000000000001</v>
      </c>
      <c r="AW12" s="17" t="n">
        <v>2.438890504538024</v>
      </c>
      <c r="AX12" s="18" t="inlineStr">
        <is>
          <t>-835cr</t>
        </is>
      </c>
      <c r="AY12" s="26" t="n">
        <v>1.065394222792754</v>
      </c>
      <c r="AZ12" s="26" t="n">
        <v>1.277701427086964</v>
      </c>
      <c r="BA12" s="26" t="n">
        <v>0.4922107406661569</v>
      </c>
      <c r="BB12" s="28" t="n">
        <v>4</v>
      </c>
      <c r="BC12" t="n">
        <v>1</v>
      </c>
      <c r="BD12" t="n">
        <v>1</v>
      </c>
      <c r="BE12" t="n">
        <v>1</v>
      </c>
      <c r="BF12" t="n">
        <v>0</v>
      </c>
      <c r="BG12" t="n">
        <v>0</v>
      </c>
      <c r="BH12" t="n">
        <v>1</v>
      </c>
    </row>
    <row r="13">
      <c r="A13" s="8" t="inlineStr">
        <is>
          <t>Bajaj Finserv ELSS Tax Saver Fund</t>
        </is>
      </c>
      <c r="B13" s="8" t="inlineStr">
        <is>
          <t>ELSS</t>
        </is>
      </c>
      <c r="C13" s="8" t="inlineStr">
        <is>
          <t>BSE 500 TRI</t>
        </is>
      </c>
      <c r="D13" s="8" t="inlineStr">
        <is>
          <t>Very High</t>
        </is>
      </c>
      <c r="E13" s="8" t="inlineStr">
        <is>
          <t>Very High</t>
        </is>
      </c>
      <c r="F13" s="9" t="n">
        <v>46023</v>
      </c>
      <c r="G13" s="8" t="n">
        <v>11.477</v>
      </c>
      <c r="H13" s="8" t="n">
        <v>11.67</v>
      </c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>
        <v>74.77</v>
      </c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inlineStr">
        <is>
          <t>Equity Scheme - ELSS</t>
        </is>
      </c>
      <c r="AM13" s="8" t="n">
        <v>2.25</v>
      </c>
      <c r="AN13" s="8" t="n">
        <v>0</v>
      </c>
      <c r="AO13" s="8" t="n">
        <v>0</v>
      </c>
      <c r="AP13" s="8" t="n">
        <v>0.1</v>
      </c>
      <c r="AQ13" s="8" t="n">
        <v>2.35</v>
      </c>
      <c r="AR13" s="8" t="n">
        <v>0.6</v>
      </c>
      <c r="AS13" s="8" t="n">
        <v>0</v>
      </c>
      <c r="AT13" s="8" t="n">
        <v>0</v>
      </c>
      <c r="AU13" s="8" t="n">
        <v>0.1</v>
      </c>
      <c r="AV13" s="8" t="n">
        <v>0.7</v>
      </c>
      <c r="AW13" s="17" t="n">
        <v>-1.96602915607864</v>
      </c>
      <c r="AX13" t="inlineStr">
        <is>
          <t>1cr</t>
        </is>
      </c>
      <c r="AY13" s="26" t="n">
        <v>1.356234363257898</v>
      </c>
      <c r="AZ13" s="26" t="n">
        <v>1.277701427086964</v>
      </c>
      <c r="BA13" s="26" t="n">
        <v>0.4933621871849231</v>
      </c>
      <c r="BB13" s="28" t="n">
        <v>1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</row>
    <row r="14">
      <c r="A14" s="8" t="inlineStr">
        <is>
          <t>Bandhan ELSS Tax saver Fund</t>
        </is>
      </c>
      <c r="B14" s="8" t="inlineStr">
        <is>
          <t>ELSS</t>
        </is>
      </c>
      <c r="C14" s="8" t="inlineStr">
        <is>
          <t>BSE 500 TRI</t>
        </is>
      </c>
      <c r="D14" s="8" t="inlineStr">
        <is>
          <t>Very High</t>
        </is>
      </c>
      <c r="E14" s="8" t="inlineStr">
        <is>
          <t>Very High</t>
        </is>
      </c>
      <c r="F14" s="9" t="n">
        <v>46023</v>
      </c>
      <c r="G14" s="8" t="n">
        <v>159.086</v>
      </c>
      <c r="H14" s="8" t="n">
        <v>183.635</v>
      </c>
      <c r="I14" s="8" t="n">
        <v>8.709293000000001</v>
      </c>
      <c r="J14" s="8" t="n">
        <v>1.420268000000001</v>
      </c>
      <c r="K14" s="8" t="n">
        <v>7.289025</v>
      </c>
      <c r="L14" s="8" t="n">
        <v>17.405436</v>
      </c>
      <c r="M14" s="8" t="n">
        <v>0.9913740000000004</v>
      </c>
      <c r="N14" s="8" t="n">
        <v>16.414062</v>
      </c>
      <c r="O14" s="8" t="n">
        <v>20.581326</v>
      </c>
      <c r="P14" s="8" t="n">
        <v>3.854889</v>
      </c>
      <c r="Q14" s="8" t="n">
        <v>16.726437</v>
      </c>
      <c r="R14" s="8" t="n">
        <v>16.415882</v>
      </c>
      <c r="S14" s="8" t="n">
        <v>1.626585</v>
      </c>
      <c r="T14" s="8" t="n">
        <v>14.789297</v>
      </c>
      <c r="U14" s="8" t="n">
        <v>17.568</v>
      </c>
      <c r="V14" s="8" t="n">
        <v>7330.89</v>
      </c>
      <c r="W14" s="8" t="n">
        <v>0.3893614341768272</v>
      </c>
      <c r="X14" s="8" t="n">
        <v>0.01204704834495742</v>
      </c>
      <c r="Y14" s="8" t="n">
        <v>0.3125788402230298</v>
      </c>
      <c r="Z14" s="8" t="n">
        <v>0.05556493384375465</v>
      </c>
      <c r="AA14" s="8" t="n">
        <v>0.2257226175225218</v>
      </c>
      <c r="AB14" s="8" t="n">
        <v>-0.1481415119410865</v>
      </c>
      <c r="AC14" s="8" t="n">
        <v>0.8415547174139055</v>
      </c>
      <c r="AD14" s="8" t="n">
        <v>0.5452928990015535</v>
      </c>
      <c r="AE14" s="8" t="n">
        <v>7.527594</v>
      </c>
      <c r="AF14" s="8" t="n">
        <v>15.093173</v>
      </c>
      <c r="AG14" s="8" t="n">
        <v>16.098814</v>
      </c>
      <c r="AH14" s="8" t="n">
        <v>19.220093</v>
      </c>
      <c r="AI14" s="8" t="n">
        <v>16.526134</v>
      </c>
      <c r="AJ14" s="8" t="n">
        <v>14.405049</v>
      </c>
      <c r="AK14" s="8" t="n">
        <v>17.644196</v>
      </c>
      <c r="AL14" s="8" t="inlineStr">
        <is>
          <t>Equity Scheme - ELSS</t>
        </is>
      </c>
      <c r="AM14" s="8" t="n">
        <v>1.66</v>
      </c>
      <c r="AN14" s="8" t="n">
        <v>0</v>
      </c>
      <c r="AO14" s="8" t="n">
        <v>0</v>
      </c>
      <c r="AP14" s="8" t="n">
        <v>0.09</v>
      </c>
      <c r="AQ14" s="8" t="n">
        <v>1.75</v>
      </c>
      <c r="AR14" s="8" t="n">
        <v>0.58</v>
      </c>
      <c r="AS14" s="8" t="n">
        <v>0</v>
      </c>
      <c r="AT14" s="8" t="n">
        <v>0</v>
      </c>
      <c r="AU14" s="8" t="n">
        <v>0.09</v>
      </c>
      <c r="AV14" s="8" t="n">
        <v>0.67</v>
      </c>
      <c r="AW14" s="17" t="n">
        <v>-0.05715540677872004</v>
      </c>
      <c r="AX14" t="inlineStr">
        <is>
          <t>4cr</t>
        </is>
      </c>
      <c r="AY14" s="26" t="n">
        <v>1.507158786029653</v>
      </c>
      <c r="AZ14" s="26" t="n">
        <v>1.277701427086964</v>
      </c>
      <c r="BA14" s="26" t="n">
        <v>0.4752364288249067</v>
      </c>
      <c r="BB14" s="28" t="n">
        <v>3</v>
      </c>
      <c r="BC14" t="n">
        <v>1</v>
      </c>
      <c r="BD14" t="n">
        <v>0</v>
      </c>
      <c r="BE14" t="n">
        <v>1</v>
      </c>
      <c r="BF14" t="n">
        <v>1</v>
      </c>
      <c r="BG14" t="n">
        <v>0</v>
      </c>
      <c r="BH14" t="n">
        <v>0</v>
      </c>
    </row>
    <row r="15">
      <c r="A15" s="8" t="inlineStr">
        <is>
          <t>Bank of India ELSS Tax Saver</t>
        </is>
      </c>
      <c r="B15" s="8" t="inlineStr">
        <is>
          <t>ELSS</t>
        </is>
      </c>
      <c r="C15" s="8" t="inlineStr">
        <is>
          <t>BSE 500 TRI</t>
        </is>
      </c>
      <c r="D15" s="8" t="inlineStr">
        <is>
          <t>Very High</t>
        </is>
      </c>
      <c r="E15" s="8" t="inlineStr">
        <is>
          <t>Very High</t>
        </is>
      </c>
      <c r="F15" s="9" t="n">
        <v>46023</v>
      </c>
      <c r="G15" s="8" t="n">
        <v>160.81</v>
      </c>
      <c r="H15" s="8" t="n">
        <v>188.31</v>
      </c>
      <c r="I15" s="8" t="n">
        <v>-3.0329556</v>
      </c>
      <c r="J15" s="8" t="n">
        <v>-10.3219806</v>
      </c>
      <c r="K15" s="8" t="n">
        <v>7.289025</v>
      </c>
      <c r="L15" s="8" t="n">
        <v>17.718767</v>
      </c>
      <c r="M15" s="8" t="n">
        <v>1.304704999999998</v>
      </c>
      <c r="N15" s="8" t="n">
        <v>16.414062</v>
      </c>
      <c r="O15" s="8" t="n">
        <v>18.269814</v>
      </c>
      <c r="P15" s="8" t="n">
        <v>1.543377</v>
      </c>
      <c r="Q15" s="8" t="n">
        <v>16.726437</v>
      </c>
      <c r="R15" s="8" t="n">
        <v>17.06143</v>
      </c>
      <c r="S15" s="8" t="n">
        <v>2.272133000000002</v>
      </c>
      <c r="T15" s="8" t="n">
        <v>14.789297</v>
      </c>
      <c r="U15" s="8" t="n">
        <v>17.353004</v>
      </c>
      <c r="V15" s="8" t="n">
        <v>1400.18</v>
      </c>
      <c r="W15" s="8" t="n">
        <v>-1.494403948433445</v>
      </c>
      <c r="X15" s="8" t="n">
        <v>-1.680926444778474</v>
      </c>
      <c r="Y15" s="8" t="n">
        <v>0.325531697453063</v>
      </c>
      <c r="Z15" s="8" t="n">
        <v>0.1379809031892033</v>
      </c>
      <c r="AA15" s="8" t="n">
        <v>0.256111780863277</v>
      </c>
      <c r="AB15" s="8" t="n">
        <v>0.082943564883514</v>
      </c>
      <c r="AC15" s="8" t="n">
        <v>0.2756429815841469</v>
      </c>
      <c r="AD15" s="8" t="n">
        <v>0.09099966748237133</v>
      </c>
      <c r="AE15" s="8" t="n">
        <v>-4.182804</v>
      </c>
      <c r="AF15" s="8" t="n">
        <v>15.673573</v>
      </c>
      <c r="AG15" s="8" t="n">
        <v>16.414635</v>
      </c>
      <c r="AH15" s="8" t="n">
        <v>16.966755</v>
      </c>
      <c r="AI15" s="8" t="n">
        <v>17.178364</v>
      </c>
      <c r="AJ15" s="8" t="n">
        <v>14.405049</v>
      </c>
      <c r="AK15" s="8" t="n">
        <v>17.90919</v>
      </c>
      <c r="AL15" s="8" t="inlineStr">
        <is>
          <t>Equity Scheme - ELSS</t>
        </is>
      </c>
      <c r="AM15" s="8" t="n">
        <v>1.97</v>
      </c>
      <c r="AN15" s="8" t="n">
        <v>0</v>
      </c>
      <c r="AO15" s="8" t="n">
        <v>0</v>
      </c>
      <c r="AP15" s="8" t="n">
        <v>0.12</v>
      </c>
      <c r="AQ15" s="8" t="n">
        <v>2.09</v>
      </c>
      <c r="AR15" s="8" t="n">
        <v>0.77</v>
      </c>
      <c r="AS15" s="8" t="n">
        <v>0</v>
      </c>
      <c r="AT15" s="8" t="n">
        <v>0</v>
      </c>
      <c r="AU15" s="8" t="n">
        <v>0.12</v>
      </c>
      <c r="AV15" s="8" t="n">
        <v>0.89</v>
      </c>
      <c r="AW15" s="17" t="n">
        <v>0.6284906226342295</v>
      </c>
      <c r="AX15" s="18" t="inlineStr">
        <is>
          <t>-9cr</t>
        </is>
      </c>
      <c r="AY15" s="26" t="n">
        <v>1.184410939411229</v>
      </c>
      <c r="AZ15" s="26" t="n">
        <v>1.277701427086964</v>
      </c>
      <c r="BA15" s="26" t="n">
        <v>0.5468021522149733</v>
      </c>
      <c r="BB15" s="28" t="n">
        <v>2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1</v>
      </c>
    </row>
    <row r="16">
      <c r="A16" s="8" t="inlineStr">
        <is>
          <t>Baroda BNP Paribas ELSS Tax Saver Fund</t>
        </is>
      </c>
      <c r="B16" s="8" t="inlineStr">
        <is>
          <t>ELSS</t>
        </is>
      </c>
      <c r="C16" s="8" t="inlineStr">
        <is>
          <t>Nifty 500 TRI</t>
        </is>
      </c>
      <c r="D16" s="8" t="inlineStr">
        <is>
          <t>Very High</t>
        </is>
      </c>
      <c r="E16" s="8" t="inlineStr">
        <is>
          <t>Very High</t>
        </is>
      </c>
      <c r="F16" s="9" t="n">
        <v>46023</v>
      </c>
      <c r="G16" s="8" t="n">
        <v>100.0473</v>
      </c>
      <c r="H16" s="8" t="n">
        <v>113.3841</v>
      </c>
      <c r="I16" s="8" t="n">
        <v>6.04762</v>
      </c>
      <c r="J16" s="8" t="n">
        <v>-1.3714083</v>
      </c>
      <c r="K16" s="8" t="n">
        <v>7.4190283</v>
      </c>
      <c r="L16" s="8" t="n">
        <v>20.875858</v>
      </c>
      <c r="M16" s="8" t="n">
        <v>4.153629000000002</v>
      </c>
      <c r="N16" s="8" t="n">
        <v>16.722229</v>
      </c>
      <c r="O16" s="8" t="n">
        <v>16.933388</v>
      </c>
      <c r="P16" s="8" t="n">
        <v>0.1446710000000024</v>
      </c>
      <c r="Q16" s="8" t="n">
        <v>16.788717</v>
      </c>
      <c r="R16" s="8" t="n">
        <v>14.072861</v>
      </c>
      <c r="S16" s="8" t="n">
        <v>-0.6600780000000004</v>
      </c>
      <c r="T16" s="8" t="n">
        <v>14.732939</v>
      </c>
      <c r="U16" s="8" t="n">
        <v>15.691926</v>
      </c>
      <c r="V16" s="8" t="n">
        <v>944.3099999999999</v>
      </c>
      <c r="W16" s="8" t="n">
        <v>-0.3414819808521465</v>
      </c>
      <c r="X16" s="8" t="n">
        <v>-0.672495220534405</v>
      </c>
      <c r="Y16" s="8" t="n">
        <v>-0.1772279774521138</v>
      </c>
      <c r="Z16" s="8" t="n">
        <v>-0.4571989750080143</v>
      </c>
      <c r="AA16" s="8" t="n">
        <v>0.9592550900679706</v>
      </c>
      <c r="AB16" s="8" t="n">
        <v>0.6336116625698798</v>
      </c>
      <c r="AC16" s="8" t="n">
        <v>0.0317024200260348</v>
      </c>
      <c r="AD16" s="8" t="n">
        <v>-0.3105785490561944</v>
      </c>
      <c r="AE16" s="8" t="n">
        <v>4.7750654</v>
      </c>
      <c r="AF16" s="8" t="n">
        <v>12.776276</v>
      </c>
      <c r="AG16" s="8" t="n">
        <v>19.434765</v>
      </c>
      <c r="AH16" s="8" t="n">
        <v>15.504086</v>
      </c>
      <c r="AI16" s="8" t="n">
        <v>13.192939</v>
      </c>
      <c r="AJ16" s="8" t="n">
        <v>14.357214</v>
      </c>
      <c r="AK16" s="8" t="n">
        <v>12.202728</v>
      </c>
      <c r="AL16" s="8" t="inlineStr">
        <is>
          <t>Equity Scheme - ELSS</t>
        </is>
      </c>
      <c r="AM16" s="8" t="n">
        <v>2.08</v>
      </c>
      <c r="AN16" s="8" t="n">
        <v>0</v>
      </c>
      <c r="AO16" s="8" t="n">
        <v>0</v>
      </c>
      <c r="AP16" s="8" t="n">
        <v>0.14</v>
      </c>
      <c r="AQ16" s="8" t="n">
        <v>2.22</v>
      </c>
      <c r="AR16" s="8" t="n">
        <v>0.86</v>
      </c>
      <c r="AS16" s="8" t="n">
        <v>0</v>
      </c>
      <c r="AT16" s="8" t="n">
        <v>0</v>
      </c>
      <c r="AU16" s="8" t="n">
        <v>0.14</v>
      </c>
      <c r="AV16" s="8" t="n">
        <v>1</v>
      </c>
      <c r="AW16" s="17" t="n">
        <v>0.9964947951414347</v>
      </c>
      <c r="AX16" s="18" t="inlineStr">
        <is>
          <t>-9cr</t>
        </is>
      </c>
      <c r="AY16" s="26" t="n">
        <v>1.966281531579496</v>
      </c>
      <c r="AZ16" s="26" t="n">
        <v>1.277701427086964</v>
      </c>
      <c r="BA16" s="26" t="n">
        <v>0.4860840690514261</v>
      </c>
      <c r="BB16" s="28" t="n">
        <v>2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</row>
    <row r="17">
      <c r="A17" s="8" t="inlineStr">
        <is>
          <t>Edelweiss ELSS Tax saver Fund</t>
        </is>
      </c>
      <c r="B17" s="8" t="inlineStr">
        <is>
          <t>ELSS</t>
        </is>
      </c>
      <c r="C17" s="8" t="inlineStr">
        <is>
          <t>Nifty 500 TRI</t>
        </is>
      </c>
      <c r="D17" s="8" t="inlineStr">
        <is>
          <t>Very High</t>
        </is>
      </c>
      <c r="E17" s="8" t="inlineStr">
        <is>
          <t>Very High</t>
        </is>
      </c>
      <c r="F17" s="9" t="n">
        <v>46023</v>
      </c>
      <c r="G17" s="8" t="n">
        <v>116.22</v>
      </c>
      <c r="H17" s="8" t="n">
        <v>138.47</v>
      </c>
      <c r="I17" s="8" t="n">
        <v>8.255805000000001</v>
      </c>
      <c r="J17" s="8" t="n">
        <v>0.8367767000000006</v>
      </c>
      <c r="K17" s="8" t="n">
        <v>7.4190283</v>
      </c>
      <c r="L17" s="8" t="n">
        <v>19.487474</v>
      </c>
      <c r="M17" s="8" t="n">
        <v>2.765245</v>
      </c>
      <c r="N17" s="8" t="n">
        <v>16.722229</v>
      </c>
      <c r="O17" s="8" t="n">
        <v>18.030853</v>
      </c>
      <c r="P17" s="8" t="n">
        <v>1.242136000000002</v>
      </c>
      <c r="Q17" s="8" t="n">
        <v>16.788717</v>
      </c>
      <c r="R17" s="8" t="n">
        <v>14.135583</v>
      </c>
      <c r="S17" s="8" t="n">
        <v>-0.5973559999999996</v>
      </c>
      <c r="T17" s="8" t="n">
        <v>14.732939</v>
      </c>
      <c r="U17" s="8" t="n">
        <v>15.425312</v>
      </c>
      <c r="V17" s="8" t="n">
        <v>451.47</v>
      </c>
      <c r="W17" s="8" t="n">
        <v>0.3694070775110416</v>
      </c>
      <c r="X17" s="8" t="n">
        <v>-0.3695563673726079</v>
      </c>
      <c r="Y17" s="8" t="n">
        <v>-0.1748959525777252</v>
      </c>
      <c r="Z17" s="8" t="n">
        <v>-0.6246714477325972</v>
      </c>
      <c r="AA17" s="8" t="n">
        <v>0.9572677417701427</v>
      </c>
      <c r="AB17" s="8" t="n">
        <v>0.286868136777868</v>
      </c>
      <c r="AC17" s="8" t="n">
        <v>0.3799019838698255</v>
      </c>
      <c r="AD17" s="8" t="n">
        <v>-0.2235178903173331</v>
      </c>
      <c r="AE17" s="8" t="n">
        <v>6.5065985</v>
      </c>
      <c r="AF17" s="8" t="n">
        <v>12.43259</v>
      </c>
      <c r="AG17" s="8" t="n">
        <v>17.542084</v>
      </c>
      <c r="AH17" s="8" t="n">
        <v>16.076178</v>
      </c>
      <c r="AI17" s="8" t="n">
        <v>16.017204</v>
      </c>
      <c r="AJ17" s="8" t="n">
        <v>14.528914</v>
      </c>
      <c r="AK17" s="8" t="n">
        <v>15.505602</v>
      </c>
      <c r="AL17" s="8" t="inlineStr">
        <is>
          <t>Equity Scheme - ELSS</t>
        </is>
      </c>
      <c r="AM17" s="8" t="n">
        <v>2.25</v>
      </c>
      <c r="AN17" s="8" t="n">
        <v>0</v>
      </c>
      <c r="AO17" s="8" t="n">
        <v>0</v>
      </c>
      <c r="AP17" s="8" t="n">
        <v>0.09</v>
      </c>
      <c r="AQ17" s="8" t="n">
        <v>2.34</v>
      </c>
      <c r="AR17" s="8" t="n">
        <v>0.58</v>
      </c>
      <c r="AS17" s="8" t="n">
        <v>0</v>
      </c>
      <c r="AT17" s="8" t="n">
        <v>0</v>
      </c>
      <c r="AU17" s="8" t="n">
        <v>0.09</v>
      </c>
      <c r="AV17" s="8" t="n">
        <v>0.67</v>
      </c>
      <c r="AW17" s="17" t="n">
        <v>-0.6069063282167162</v>
      </c>
      <c r="AX17" t="inlineStr">
        <is>
          <t>3cr</t>
        </is>
      </c>
      <c r="AY17" s="26" t="n">
        <v>1.822216732809595</v>
      </c>
      <c r="AZ17" s="26" t="n">
        <v>1.277701427086964</v>
      </c>
      <c r="BA17" s="26" t="n">
        <v>0.5182867870790825</v>
      </c>
      <c r="BB17" s="28" t="n">
        <v>3</v>
      </c>
      <c r="BC17" t="n">
        <v>1</v>
      </c>
      <c r="BD17" t="n">
        <v>0</v>
      </c>
      <c r="BE17" t="n">
        <v>1</v>
      </c>
      <c r="BF17" t="n">
        <v>1</v>
      </c>
      <c r="BG17" t="n">
        <v>0</v>
      </c>
      <c r="BH17" t="n">
        <v>0</v>
      </c>
    </row>
    <row r="18">
      <c r="A18" s="8" t="inlineStr">
        <is>
          <t>Franklin India ELSS Tax Saver Fund</t>
        </is>
      </c>
      <c r="B18" s="8" t="inlineStr">
        <is>
          <t>ELSS</t>
        </is>
      </c>
      <c r="C18" s="8" t="inlineStr">
        <is>
          <t>Nifty 500 TRI</t>
        </is>
      </c>
      <c r="D18" s="8" t="inlineStr">
        <is>
          <t>Very High</t>
        </is>
      </c>
      <c r="E18" s="8" t="inlineStr">
        <is>
          <t>Very High</t>
        </is>
      </c>
      <c r="F18" s="9" t="n">
        <v>46023</v>
      </c>
      <c r="G18" s="8" t="n">
        <v>1500.227</v>
      </c>
      <c r="H18" s="8" t="n">
        <v>1678.6792</v>
      </c>
      <c r="I18" s="8" t="n">
        <v>2.7162285</v>
      </c>
      <c r="J18" s="8" t="n">
        <v>-4.702799799999999</v>
      </c>
      <c r="K18" s="8" t="n">
        <v>7.4190283</v>
      </c>
      <c r="L18" s="8" t="n">
        <v>18.953844</v>
      </c>
      <c r="M18" s="8" t="n">
        <v>2.231615000000001</v>
      </c>
      <c r="N18" s="8" t="n">
        <v>16.722229</v>
      </c>
      <c r="O18" s="8" t="n">
        <v>19.675453</v>
      </c>
      <c r="P18" s="8" t="n">
        <v>2.886736000000003</v>
      </c>
      <c r="Q18" s="8" t="n">
        <v>16.788717</v>
      </c>
      <c r="R18" s="8" t="n">
        <v>14.576462</v>
      </c>
      <c r="S18" s="8" t="n">
        <v>-0.1564770000000006</v>
      </c>
      <c r="T18" s="8" t="n">
        <v>14.732939</v>
      </c>
      <c r="U18" s="8" t="n">
        <v>16.03144</v>
      </c>
      <c r="V18" s="8" t="n">
        <v>6714.13</v>
      </c>
      <c r="W18" s="8" t="n">
        <v>-1.612074312083917</v>
      </c>
      <c r="X18" s="8" t="n">
        <v>-1.886847169113279</v>
      </c>
      <c r="Y18" s="8" t="n">
        <v>-0.05293283477256518</v>
      </c>
      <c r="Z18" s="8" t="n">
        <v>-0.2935825349088712</v>
      </c>
      <c r="AA18" s="8" t="n">
        <v>0.6522703667094527</v>
      </c>
      <c r="AB18" s="8" t="n">
        <v>0.3581184091926866</v>
      </c>
      <c r="AC18" s="8" t="n">
        <v>0.7308249827939713</v>
      </c>
      <c r="AD18" s="8" t="n">
        <v>0.4821221287429019</v>
      </c>
      <c r="AE18" s="8" t="n">
        <v>1.9138011</v>
      </c>
      <c r="AF18" s="8" t="n">
        <v>13.5499325</v>
      </c>
      <c r="AG18" s="8" t="n">
        <v>17.99179</v>
      </c>
      <c r="AH18" s="8" t="n">
        <v>18.698732</v>
      </c>
      <c r="AI18" s="8" t="n">
        <v>15.813622</v>
      </c>
      <c r="AJ18" s="8" t="n">
        <v>14.41386</v>
      </c>
      <c r="AK18" s="8" t="n">
        <v>20.602945</v>
      </c>
      <c r="AL18" s="8" t="inlineStr">
        <is>
          <t>Equity Scheme - ELSS</t>
        </is>
      </c>
      <c r="AM18" s="8" t="n">
        <v>1.67</v>
      </c>
      <c r="AN18" s="8" t="n">
        <v>0</v>
      </c>
      <c r="AO18" s="8" t="n">
        <v>0</v>
      </c>
      <c r="AP18" s="8" t="n">
        <v>0.16</v>
      </c>
      <c r="AQ18" s="8" t="n">
        <v>1.83</v>
      </c>
      <c r="AR18" s="8" t="n">
        <v>0.93</v>
      </c>
      <c r="AS18" s="8" t="n">
        <v>0</v>
      </c>
      <c r="AT18" s="8" t="n">
        <v>0</v>
      </c>
      <c r="AU18" s="8" t="n">
        <v>0.15</v>
      </c>
      <c r="AV18" s="8" t="n">
        <v>1.08</v>
      </c>
      <c r="AW18" s="17" t="n">
        <v>1.088748653958137</v>
      </c>
      <c r="AX18" s="18" t="inlineStr">
        <is>
          <t>-73cr</t>
        </is>
      </c>
      <c r="AY18" s="26" t="n">
        <v>1.152324659950669</v>
      </c>
      <c r="AZ18" s="26" t="n">
        <v>1.277701427086964</v>
      </c>
      <c r="BA18" s="26" t="n">
        <v>0.4971325536142485</v>
      </c>
      <c r="BB18" s="28" t="n">
        <v>2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1</v>
      </c>
    </row>
    <row r="19">
      <c r="A19" s="8" t="inlineStr">
        <is>
          <t>Groww ELSS Tax Saver Fund</t>
        </is>
      </c>
      <c r="B19" s="8" t="inlineStr">
        <is>
          <t>ELSS</t>
        </is>
      </c>
      <c r="C19" s="8" t="inlineStr">
        <is>
          <t>BSE 500 TRI</t>
        </is>
      </c>
      <c r="D19" s="8" t="inlineStr">
        <is>
          <t>Very High</t>
        </is>
      </c>
      <c r="E19" s="8" t="inlineStr">
        <is>
          <t>Very High</t>
        </is>
      </c>
      <c r="F19" s="9" t="n">
        <v>46023</v>
      </c>
      <c r="G19" s="8" t="n">
        <v>20.15</v>
      </c>
      <c r="H19" s="8" t="n">
        <v>23.01</v>
      </c>
      <c r="I19" s="8" t="n">
        <v>0.74430823</v>
      </c>
      <c r="J19" s="8" t="n">
        <v>-6.54471677</v>
      </c>
      <c r="K19" s="8" t="n">
        <v>7.289025</v>
      </c>
      <c r="L19" s="8" t="n">
        <v>15.593163</v>
      </c>
      <c r="M19" s="8" t="n">
        <v>-0.8208990000000007</v>
      </c>
      <c r="N19" s="8" t="n">
        <v>16.414062</v>
      </c>
      <c r="O19" s="8" t="n">
        <v>14.791395</v>
      </c>
      <c r="P19" s="8" t="n">
        <v>-1.935042000000001</v>
      </c>
      <c r="Q19" s="8" t="n">
        <v>16.726437</v>
      </c>
      <c r="R19" s="8" t="n"/>
      <c r="S19" s="8" t="n"/>
      <c r="T19" s="8" t="n"/>
      <c r="U19" s="8" t="n">
        <v>10.954983</v>
      </c>
      <c r="V19" s="8" t="n">
        <v>53.21</v>
      </c>
      <c r="W19" s="8" t="n">
        <v>-1.648799834504165</v>
      </c>
      <c r="X19" s="8" t="n">
        <v>-2.041180952305005</v>
      </c>
      <c r="Y19" s="8" t="n"/>
      <c r="Z19" s="8" t="n"/>
      <c r="AA19" s="8" t="n">
        <v>-0.1816602429031001</v>
      </c>
      <c r="AB19" s="8" t="n">
        <v>-0.6001310020029127</v>
      </c>
      <c r="AC19" s="8" t="n">
        <v>-0.4322458276002866</v>
      </c>
      <c r="AD19" s="8" t="n">
        <v>-0.9180205881890166</v>
      </c>
      <c r="AE19" s="8" t="n">
        <v>-0.7877893</v>
      </c>
      <c r="AF19" s="8" t="n"/>
      <c r="AG19" s="8" t="n">
        <v>13.766757</v>
      </c>
      <c r="AH19" s="8" t="n">
        <v>12.5972395</v>
      </c>
      <c r="AI19" s="8" t="n">
        <v>13.584545</v>
      </c>
      <c r="AJ19" s="8" t="n">
        <v>13.584545</v>
      </c>
      <c r="AK19" s="8" t="n">
        <v>9.133074000000001</v>
      </c>
      <c r="AL19" s="8" t="inlineStr">
        <is>
          <t>Equity Scheme - ELSS</t>
        </is>
      </c>
      <c r="AM19" s="8" t="n">
        <v>2.25</v>
      </c>
      <c r="AN19" s="8" t="n">
        <v>0</v>
      </c>
      <c r="AO19" s="8" t="n">
        <v>0</v>
      </c>
      <c r="AP19" s="8" t="n">
        <v>0.05</v>
      </c>
      <c r="AQ19" s="8" t="n">
        <v>2.3</v>
      </c>
      <c r="AR19" s="8" t="n">
        <v>0.8</v>
      </c>
      <c r="AS19" s="8" t="n">
        <v>0</v>
      </c>
      <c r="AT19" s="8" t="n">
        <v>0</v>
      </c>
      <c r="AU19" s="8" t="n">
        <v>0.05</v>
      </c>
      <c r="AV19" s="8" t="n">
        <v>0.85</v>
      </c>
      <c r="AW19" s="17" t="n">
        <v>0.3570757376432959</v>
      </c>
      <c r="AX19" t="inlineStr">
        <is>
          <t>0cr</t>
        </is>
      </c>
      <c r="AY19" s="26" t="n">
        <v>0.8689178946507664</v>
      </c>
      <c r="AZ19" s="26" t="n">
        <v>1.277701427086964</v>
      </c>
      <c r="BA19" s="26" t="n">
        <v>0.4805991526555392</v>
      </c>
      <c r="BB19" s="28" t="n">
        <v>3</v>
      </c>
      <c r="BC19" t="n">
        <v>0</v>
      </c>
      <c r="BD19" t="n">
        <v>1</v>
      </c>
      <c r="BE19" t="n">
        <v>1</v>
      </c>
      <c r="BF19" t="n">
        <v>0</v>
      </c>
      <c r="BG19" t="n">
        <v>0</v>
      </c>
      <c r="BH19" t="n">
        <v>1</v>
      </c>
    </row>
    <row r="20">
      <c r="A20" s="8" t="inlineStr">
        <is>
          <t>HDFC ELSS Tax saver</t>
        </is>
      </c>
      <c r="B20" s="8" t="inlineStr">
        <is>
          <t>ELSS</t>
        </is>
      </c>
      <c r="C20" s="8" t="inlineStr">
        <is>
          <t>Nifty 500 TRI</t>
        </is>
      </c>
      <c r="D20" s="8" t="inlineStr">
        <is>
          <t>Very High</t>
        </is>
      </c>
      <c r="E20" s="8" t="inlineStr">
        <is>
          <t>Very High</t>
        </is>
      </c>
      <c r="F20" s="9" t="n">
        <v>46023</v>
      </c>
      <c r="G20" s="8" t="n">
        <v>1460.591</v>
      </c>
      <c r="H20" s="8" t="n">
        <v>1581.725</v>
      </c>
      <c r="I20" s="8" t="n">
        <v>10.692347</v>
      </c>
      <c r="J20" s="8" t="n">
        <v>3.2733187</v>
      </c>
      <c r="K20" s="8" t="n">
        <v>7.4190283</v>
      </c>
      <c r="L20" s="8" t="n">
        <v>21.971302</v>
      </c>
      <c r="M20" s="8" t="n">
        <v>5.249073000000003</v>
      </c>
      <c r="N20" s="8" t="n">
        <v>16.722229</v>
      </c>
      <c r="O20" s="8" t="n">
        <v>22.329664</v>
      </c>
      <c r="P20" s="8" t="n">
        <v>5.540947000000003</v>
      </c>
      <c r="Q20" s="8" t="n">
        <v>16.788717</v>
      </c>
      <c r="R20" s="8" t="n">
        <v>15.165674</v>
      </c>
      <c r="S20" s="8" t="n">
        <v>0.4327349999999992</v>
      </c>
      <c r="T20" s="8" t="n">
        <v>14.732939</v>
      </c>
      <c r="U20" s="8" t="n">
        <v>15.364882</v>
      </c>
      <c r="V20" s="8" t="n">
        <v>17185.1</v>
      </c>
      <c r="W20" s="8" t="n">
        <v>0.6146722334336403</v>
      </c>
      <c r="X20" s="8" t="n">
        <v>0.475362937333231</v>
      </c>
      <c r="Y20" s="8" t="n">
        <v>0.07050041892193733</v>
      </c>
      <c r="Z20" s="8" t="n">
        <v>-0.06325986180427856</v>
      </c>
      <c r="AA20" s="8" t="n">
        <v>0.9903867281513539</v>
      </c>
      <c r="AB20" s="8" t="n">
        <v>0.8454159460303274</v>
      </c>
      <c r="AC20" s="8" t="n">
        <v>1.07766433159595</v>
      </c>
      <c r="AD20" s="8" t="n">
        <v>0.9310445180166321</v>
      </c>
      <c r="AE20" s="8" t="n">
        <v>10.010025</v>
      </c>
      <c r="AF20" s="8" t="n">
        <v>14.440567</v>
      </c>
      <c r="AG20" s="8" t="n">
        <v>21.225603</v>
      </c>
      <c r="AH20" s="8" t="n">
        <v>21.593822</v>
      </c>
      <c r="AI20" s="8" t="n"/>
      <c r="AJ20" s="8" t="n">
        <v>14.41386</v>
      </c>
      <c r="AK20" s="8" t="n">
        <v>18.224836</v>
      </c>
      <c r="AL20" s="8" t="inlineStr">
        <is>
          <t>Equity Scheme - ELSS</t>
        </is>
      </c>
      <c r="AM20" s="8" t="n">
        <v>1.54</v>
      </c>
      <c r="AN20" s="8" t="n">
        <v>0</v>
      </c>
      <c r="AO20" s="8" t="n">
        <v>0</v>
      </c>
      <c r="AP20" s="8" t="n">
        <v>0.16</v>
      </c>
      <c r="AQ20" s="8" t="n">
        <v>1.7</v>
      </c>
      <c r="AR20" s="8" t="n">
        <v>0.92</v>
      </c>
      <c r="AS20" s="8" t="n">
        <v>0</v>
      </c>
      <c r="AT20" s="8" t="n">
        <v>0</v>
      </c>
      <c r="AU20" s="8" t="n">
        <v>0.16</v>
      </c>
      <c r="AV20" s="8" t="n">
        <v>1.08</v>
      </c>
      <c r="AW20" s="17" t="n">
        <v>0.4960692693088781</v>
      </c>
      <c r="AX20" s="18" t="inlineStr">
        <is>
          <t>-85cr</t>
        </is>
      </c>
      <c r="AY20" s="26" t="n">
        <v>0.9561460746764038</v>
      </c>
      <c r="AZ20" s="26" t="n">
        <v>1.277701427086964</v>
      </c>
      <c r="BA20" s="26" t="n">
        <v>0.4384432116236137</v>
      </c>
      <c r="BB20" s="28" t="n">
        <v>4</v>
      </c>
      <c r="BC20" t="n">
        <v>1</v>
      </c>
      <c r="BD20" t="n">
        <v>1</v>
      </c>
      <c r="BE20" t="n">
        <v>0</v>
      </c>
      <c r="BF20" t="n">
        <v>1</v>
      </c>
      <c r="BG20" t="n">
        <v>0</v>
      </c>
      <c r="BH20" t="n">
        <v>1</v>
      </c>
    </row>
    <row r="21">
      <c r="A21" s="8" t="inlineStr">
        <is>
          <t>HSBC ELSS Tax saver Fund</t>
        </is>
      </c>
      <c r="B21" s="8" t="inlineStr">
        <is>
          <t>ELSS</t>
        </is>
      </c>
      <c r="C21" s="8" t="inlineStr">
        <is>
          <t>Nifty 500 TRI</t>
        </is>
      </c>
      <c r="D21" s="8" t="inlineStr">
        <is>
          <t>Very High</t>
        </is>
      </c>
      <c r="E21" s="8" t="inlineStr">
        <is>
          <t>Very High</t>
        </is>
      </c>
      <c r="F21" s="9" t="n">
        <v>46023</v>
      </c>
      <c r="G21" s="8" t="n">
        <v>137.113</v>
      </c>
      <c r="H21" s="8" t="n">
        <v>149.9422</v>
      </c>
      <c r="I21" s="8" t="n">
        <v>1.1569394</v>
      </c>
      <c r="J21" s="8" t="n">
        <v>-6.2620889</v>
      </c>
      <c r="K21" s="8" t="n">
        <v>7.4190283</v>
      </c>
      <c r="L21" s="8" t="n">
        <v>20.893122</v>
      </c>
      <c r="M21" s="8" t="n">
        <v>4.170893000000003</v>
      </c>
      <c r="N21" s="8" t="n">
        <v>16.722229</v>
      </c>
      <c r="O21" s="8" t="n">
        <v>17.703201</v>
      </c>
      <c r="P21" s="8" t="n">
        <v>0.9144840000000016</v>
      </c>
      <c r="Q21" s="8" t="n">
        <v>16.788717</v>
      </c>
      <c r="R21" s="8" t="n">
        <v>14.6064625</v>
      </c>
      <c r="S21" s="8" t="n">
        <v>-0.1264765000000008</v>
      </c>
      <c r="T21" s="8" t="n">
        <v>14.732939</v>
      </c>
      <c r="U21" s="8" t="n">
        <v>15.253682</v>
      </c>
      <c r="V21" s="8" t="n">
        <v>4132.01</v>
      </c>
      <c r="W21" s="8" t="n">
        <v>-1.192426422639767</v>
      </c>
      <c r="X21" s="8" t="n">
        <v>-1.356647895819889</v>
      </c>
      <c r="Y21" s="8" t="n">
        <v>-0.02077721290110537</v>
      </c>
      <c r="Z21" s="8" t="n">
        <v>-0.1880431261769163</v>
      </c>
      <c r="AA21" s="8" t="n">
        <v>0.8533310243174053</v>
      </c>
      <c r="AB21" s="8" t="n">
        <v>0.6778167091598145</v>
      </c>
      <c r="AC21" s="8" t="n">
        <v>0.2275323589934232</v>
      </c>
      <c r="AD21" s="8" t="n">
        <v>0.05279793902571404</v>
      </c>
      <c r="AE21" s="8" t="n">
        <v>0.38407362</v>
      </c>
      <c r="AF21" s="8" t="n">
        <v>13.78567</v>
      </c>
      <c r="AG21" s="8" t="n">
        <v>19.954008</v>
      </c>
      <c r="AH21" s="8" t="n">
        <v>16.80156</v>
      </c>
      <c r="AI21" s="8" t="n">
        <v>12.987459</v>
      </c>
      <c r="AJ21" s="8" t="n">
        <v>14.41386</v>
      </c>
      <c r="AK21" s="8" t="n">
        <v>14.093742</v>
      </c>
      <c r="AL21" s="8" t="inlineStr">
        <is>
          <t>Equity Scheme - ELSS</t>
        </is>
      </c>
      <c r="AM21" s="8" t="n">
        <v>1.75</v>
      </c>
      <c r="AN21" s="8" t="n">
        <v>0</v>
      </c>
      <c r="AO21" s="8" t="n">
        <v>0</v>
      </c>
      <c r="AP21" s="8" t="n">
        <v>0.17</v>
      </c>
      <c r="AQ21" s="8" t="n">
        <v>1.92</v>
      </c>
      <c r="AR21" s="8" t="n">
        <v>1</v>
      </c>
      <c r="AS21" s="8" t="n">
        <v>0</v>
      </c>
      <c r="AT21" s="8" t="n">
        <v>0</v>
      </c>
      <c r="AU21" s="8" t="n">
        <v>0.17</v>
      </c>
      <c r="AV21" s="8" t="n">
        <v>1.17</v>
      </c>
      <c r="AW21" s="17" t="n">
        <v>1.265001778795296</v>
      </c>
      <c r="AX21" s="18" t="inlineStr">
        <is>
          <t>-52cr</t>
        </is>
      </c>
      <c r="AY21" s="26" t="n">
        <v>1.09357903618367</v>
      </c>
      <c r="AZ21" s="26" t="n">
        <v>1.277701427086964</v>
      </c>
      <c r="BA21" s="26" t="n">
        <v>0.6212233450494735</v>
      </c>
      <c r="BB21" s="28" t="n">
        <v>2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1</v>
      </c>
    </row>
    <row r="22">
      <c r="A22" s="8" t="inlineStr">
        <is>
          <t>ICICI Prudential ELSS Tax Saver Fund</t>
        </is>
      </c>
      <c r="B22" s="8" t="inlineStr">
        <is>
          <t>ELSS</t>
        </is>
      </c>
      <c r="C22" s="8" t="inlineStr">
        <is>
          <t>Nifty 500 TRI</t>
        </is>
      </c>
      <c r="D22" s="8" t="inlineStr">
        <is>
          <t>Very High</t>
        </is>
      </c>
      <c r="E22" s="8" t="inlineStr">
        <is>
          <t>Very High</t>
        </is>
      </c>
      <c r="F22" s="9" t="n">
        <v>46023</v>
      </c>
      <c r="G22" s="8" t="n">
        <v>964.66</v>
      </c>
      <c r="H22" s="8" t="n">
        <v>1073.85</v>
      </c>
      <c r="I22" s="8" t="n">
        <v>10.087652</v>
      </c>
      <c r="J22" s="8" t="n">
        <v>2.6686237</v>
      </c>
      <c r="K22" s="8" t="n">
        <v>7.4190283</v>
      </c>
      <c r="L22" s="8" t="n">
        <v>17.190884</v>
      </c>
      <c r="M22" s="8" t="n">
        <v>0.4686550000000018</v>
      </c>
      <c r="N22" s="8" t="n">
        <v>16.722229</v>
      </c>
      <c r="O22" s="8" t="n">
        <v>17.382748</v>
      </c>
      <c r="P22" s="8" t="n">
        <v>0.5940310000000011</v>
      </c>
      <c r="Q22" s="8" t="n">
        <v>16.788717</v>
      </c>
      <c r="R22" s="8" t="n">
        <v>14.308149</v>
      </c>
      <c r="S22" s="8" t="n">
        <v>-0.4247899999999998</v>
      </c>
      <c r="T22" s="8" t="n">
        <v>14.732939</v>
      </c>
      <c r="U22" s="8" t="n">
        <v>15.813838</v>
      </c>
      <c r="V22" s="8" t="n">
        <v>14809.94</v>
      </c>
      <c r="W22" s="8" t="n">
        <v>0.6275839373776746</v>
      </c>
      <c r="X22" s="8" t="n">
        <v>0.4543202173329401</v>
      </c>
      <c r="Y22" s="8" t="n">
        <v>-0.1227080046027349</v>
      </c>
      <c r="Z22" s="8" t="n">
        <v>-0.3098986188233996</v>
      </c>
      <c r="AA22" s="8" t="n">
        <v>0.05016138402204165</v>
      </c>
      <c r="AB22" s="8" t="n">
        <v>-0.1147718529702937</v>
      </c>
      <c r="AC22" s="8" t="n">
        <v>0.0933845360172136</v>
      </c>
      <c r="AD22" s="8" t="n">
        <v>-0.08607728968299688</v>
      </c>
      <c r="AE22" s="8" t="n">
        <v>9.401650999999999</v>
      </c>
      <c r="AF22" s="8" t="n">
        <v>13.362356</v>
      </c>
      <c r="AG22" s="8" t="n">
        <v>16.466227</v>
      </c>
      <c r="AH22" s="8" t="n">
        <v>16.619434</v>
      </c>
      <c r="AI22" s="8" t="n">
        <v>14.566626</v>
      </c>
      <c r="AJ22" s="8" t="n">
        <v>14.41386</v>
      </c>
      <c r="AK22" s="8" t="n">
        <v>18.904121</v>
      </c>
      <c r="AL22" s="8" t="inlineStr">
        <is>
          <t>Equity Scheme - ELSS</t>
        </is>
      </c>
      <c r="AM22" s="8" t="n">
        <v>1.56</v>
      </c>
      <c r="AN22" s="8" t="n">
        <v>0</v>
      </c>
      <c r="AO22" s="8" t="n">
        <v>0</v>
      </c>
      <c r="AP22" s="8" t="n">
        <v>0.16</v>
      </c>
      <c r="AQ22" s="8" t="n">
        <v>1.72</v>
      </c>
      <c r="AR22" s="8" t="n">
        <v>0.93</v>
      </c>
      <c r="AS22" s="8" t="n">
        <v>0</v>
      </c>
      <c r="AT22" s="8" t="n">
        <v>0</v>
      </c>
      <c r="AU22" s="8" t="n">
        <v>0.16</v>
      </c>
      <c r="AV22" s="8" t="n">
        <v>1.09</v>
      </c>
      <c r="AW22" s="17" t="n">
        <v>1.137074154250454</v>
      </c>
      <c r="AX22" s="18" t="inlineStr">
        <is>
          <t>-168cr</t>
        </is>
      </c>
      <c r="AY22" s="26" t="n">
        <v>1.023439667759764</v>
      </c>
      <c r="AZ22" s="26" t="n">
        <v>1.277701427086964</v>
      </c>
      <c r="BA22" s="26" t="n">
        <v>0.483911303693267</v>
      </c>
      <c r="BB22" s="28" t="n">
        <v>4</v>
      </c>
      <c r="BC22" t="n">
        <v>1</v>
      </c>
      <c r="BD22" t="n">
        <v>1</v>
      </c>
      <c r="BE22" t="n">
        <v>0</v>
      </c>
      <c r="BF22" t="n">
        <v>1</v>
      </c>
      <c r="BG22" t="n">
        <v>0</v>
      </c>
      <c r="BH22" t="n">
        <v>1</v>
      </c>
    </row>
    <row r="23">
      <c r="A23" s="8" t="inlineStr">
        <is>
          <t>Invesco India ELSS Tax Saver Fund</t>
        </is>
      </c>
      <c r="B23" s="8" t="inlineStr">
        <is>
          <t>ELSS</t>
        </is>
      </c>
      <c r="C23" s="8" t="inlineStr">
        <is>
          <t>BSE 500 TRI</t>
        </is>
      </c>
      <c r="D23" s="8" t="inlineStr">
        <is>
          <t>Very High</t>
        </is>
      </c>
      <c r="E23" s="8" t="inlineStr">
        <is>
          <t>Very High</t>
        </is>
      </c>
      <c r="F23" s="9" t="n">
        <v>46023</v>
      </c>
      <c r="G23" s="8" t="n">
        <v>125.07</v>
      </c>
      <c r="H23" s="8" t="n">
        <v>148.7</v>
      </c>
      <c r="I23" s="8" t="n">
        <v>-2.0937583</v>
      </c>
      <c r="J23" s="8" t="n">
        <v>-9.3827833</v>
      </c>
      <c r="K23" s="8" t="n">
        <v>7.289025</v>
      </c>
      <c r="L23" s="8" t="n">
        <v>18.261726</v>
      </c>
      <c r="M23" s="8" t="n">
        <v>1.847663999999998</v>
      </c>
      <c r="N23" s="8" t="n">
        <v>16.414062</v>
      </c>
      <c r="O23" s="8" t="n">
        <v>15.720009</v>
      </c>
      <c r="P23" s="8" t="n">
        <v>-1.006428000000001</v>
      </c>
      <c r="Q23" s="8" t="n">
        <v>16.726437</v>
      </c>
      <c r="R23" s="8" t="n">
        <v>14.960691</v>
      </c>
      <c r="S23" s="8" t="n">
        <v>0.1713940000000012</v>
      </c>
      <c r="T23" s="8" t="n">
        <v>14.789297</v>
      </c>
      <c r="U23" s="8" t="n">
        <v>16.769384</v>
      </c>
      <c r="V23" s="8" t="n">
        <v>2783.72</v>
      </c>
      <c r="W23" s="8" t="n">
        <v>-1.996573469061966</v>
      </c>
      <c r="X23" s="8" t="n">
        <v>-2.249434302905934</v>
      </c>
      <c r="Y23" s="8" t="n">
        <v>0.02934775079304384</v>
      </c>
      <c r="Z23" s="8" t="n">
        <v>-0.3186907374340698</v>
      </c>
      <c r="AA23" s="8" t="n">
        <v>0.4035953557312794</v>
      </c>
      <c r="AB23" s="8" t="n">
        <v>0.1117505705690948</v>
      </c>
      <c r="AC23" s="8" t="n">
        <v>-0.2155690741804581</v>
      </c>
      <c r="AD23" s="8" t="n">
        <v>-0.515781562573553</v>
      </c>
      <c r="AE23" s="8" t="n">
        <v>-3.1965945</v>
      </c>
      <c r="AF23" s="8" t="n">
        <v>13.434579</v>
      </c>
      <c r="AG23" s="8" t="n">
        <v>16.905062</v>
      </c>
      <c r="AH23" s="8" t="n">
        <v>14.34139</v>
      </c>
      <c r="AI23" s="8" t="n">
        <v>12.322847</v>
      </c>
      <c r="AJ23" s="8" t="n">
        <v>14.405049</v>
      </c>
      <c r="AK23" s="8" t="n">
        <v>14.203224</v>
      </c>
      <c r="AL23" s="8" t="inlineStr">
        <is>
          <t>Equity Scheme - ELSS</t>
        </is>
      </c>
      <c r="AM23" s="8" t="n">
        <v>1.83</v>
      </c>
      <c r="AN23" s="8" t="n">
        <v>0</v>
      </c>
      <c r="AO23" s="8" t="n">
        <v>0</v>
      </c>
      <c r="AP23" s="8" t="n">
        <v>0.1</v>
      </c>
      <c r="AQ23" s="8" t="n">
        <v>1.93</v>
      </c>
      <c r="AR23" s="8" t="n">
        <v>0.68</v>
      </c>
      <c r="AS23" s="8" t="n">
        <v>0</v>
      </c>
      <c r="AT23" s="8" t="n">
        <v>0</v>
      </c>
      <c r="AU23" s="8" t="n">
        <v>0.1</v>
      </c>
      <c r="AV23" s="8" t="n">
        <v>0.78</v>
      </c>
      <c r="AW23" s="17" t="n">
        <v>1.962841090339558</v>
      </c>
      <c r="AX23" s="18" t="inlineStr">
        <is>
          <t>-55cr</t>
        </is>
      </c>
      <c r="AY23" s="26" t="n">
        <v>1.219382394387882</v>
      </c>
      <c r="AZ23" s="26" t="n">
        <v>1.277701427086964</v>
      </c>
      <c r="BA23" s="26" t="n">
        <v>0.5469820514623496</v>
      </c>
      <c r="BB23" s="28" t="n">
        <v>3</v>
      </c>
      <c r="BC23" t="n">
        <v>0</v>
      </c>
      <c r="BD23" t="n">
        <v>1</v>
      </c>
      <c r="BE23" t="n">
        <v>1</v>
      </c>
      <c r="BF23" t="n">
        <v>0</v>
      </c>
      <c r="BG23" t="n">
        <v>0</v>
      </c>
      <c r="BH23" t="n">
        <v>1</v>
      </c>
    </row>
    <row r="24">
      <c r="A24" s="8" t="inlineStr">
        <is>
          <t>ITI ELSS Tax Saver Fund</t>
        </is>
      </c>
      <c r="B24" s="8" t="inlineStr">
        <is>
          <t>ELSS</t>
        </is>
      </c>
      <c r="C24" s="8" t="inlineStr">
        <is>
          <t>Nifty 500 TRI</t>
        </is>
      </c>
      <c r="D24" s="8" t="inlineStr">
        <is>
          <t>Very High</t>
        </is>
      </c>
      <c r="E24" s="8" t="inlineStr">
        <is>
          <t>Very High</t>
        </is>
      </c>
      <c r="F24" s="9" t="n">
        <v>46023</v>
      </c>
      <c r="G24" s="8" t="n">
        <v>24.6483</v>
      </c>
      <c r="H24" s="8" t="n">
        <v>27.8913</v>
      </c>
      <c r="I24" s="8" t="n">
        <v>4.5844007</v>
      </c>
      <c r="J24" s="8" t="n">
        <v>-2.8346276</v>
      </c>
      <c r="K24" s="8" t="n">
        <v>7.4190283</v>
      </c>
      <c r="L24" s="8" t="n">
        <v>21.97871</v>
      </c>
      <c r="M24" s="8" t="n">
        <v>5.256481000000001</v>
      </c>
      <c r="N24" s="8" t="n">
        <v>16.722229</v>
      </c>
      <c r="O24" s="8" t="n">
        <v>17.99655</v>
      </c>
      <c r="P24" s="8" t="n">
        <v>1.207833000000001</v>
      </c>
      <c r="Q24" s="8" t="n">
        <v>16.788717</v>
      </c>
      <c r="R24" s="8" t="n"/>
      <c r="S24" s="8" t="n"/>
      <c r="T24" s="8" t="n"/>
      <c r="U24" s="8" t="n">
        <v>17.956812</v>
      </c>
      <c r="V24" s="8" t="n">
        <v>441.77</v>
      </c>
      <c r="W24" s="8" t="n">
        <v>-0.2996807962998455</v>
      </c>
      <c r="X24" s="8" t="n">
        <v>-0.5718443273536766</v>
      </c>
      <c r="Y24" s="8" t="n"/>
      <c r="Z24" s="8" t="n"/>
      <c r="AA24" s="8" t="n">
        <v>0.8587003545758441</v>
      </c>
      <c r="AB24" s="8" t="n">
        <v>0.5281762315484908</v>
      </c>
      <c r="AC24" s="8" t="n">
        <v>0.2025769738809618</v>
      </c>
      <c r="AD24" s="8" t="n">
        <v>-0.1298970987632797</v>
      </c>
      <c r="AE24" s="8" t="n">
        <v>2.680714</v>
      </c>
      <c r="AF24" s="8" t="n"/>
      <c r="AG24" s="8" t="n">
        <v>19.767332</v>
      </c>
      <c r="AH24" s="8" t="n">
        <v>15.726608</v>
      </c>
      <c r="AI24" s="8" t="n">
        <v>17.234518</v>
      </c>
      <c r="AJ24" s="8" t="n">
        <v>17.234518</v>
      </c>
      <c r="AK24" s="8" t="n">
        <v>15.632509</v>
      </c>
      <c r="AL24" s="8" t="inlineStr">
        <is>
          <t>Equity Scheme - ELSS</t>
        </is>
      </c>
      <c r="AM24" s="8" t="n">
        <v>2.25</v>
      </c>
      <c r="AN24" s="8" t="n">
        <v>0</v>
      </c>
      <c r="AO24" s="8" t="n">
        <v>0</v>
      </c>
      <c r="AP24" s="8" t="n">
        <v>0.06</v>
      </c>
      <c r="AQ24" s="8" t="n">
        <v>2.31</v>
      </c>
      <c r="AR24" s="8" t="n">
        <v>0.5</v>
      </c>
      <c r="AS24" s="8" t="n">
        <v>0</v>
      </c>
      <c r="AT24" s="8" t="n">
        <v>0</v>
      </c>
      <c r="AU24" s="8" t="n">
        <v>0.06</v>
      </c>
      <c r="AV24" s="8" t="n">
        <v>0.5600000000000001</v>
      </c>
      <c r="AW24" s="17" t="n">
        <v>-0.4142427054802237</v>
      </c>
      <c r="AX24" t="inlineStr">
        <is>
          <t>2cr</t>
        </is>
      </c>
      <c r="AY24" s="26" t="n">
        <v>1.635451217102436</v>
      </c>
      <c r="AZ24" s="26" t="n">
        <v>1.277701427086964</v>
      </c>
      <c r="BA24" s="26" t="n">
        <v>0.693311388298762</v>
      </c>
      <c r="BB24" s="28" t="n">
        <v>2</v>
      </c>
      <c r="BC24" t="n">
        <v>1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</row>
    <row r="25">
      <c r="A25" s="8" t="inlineStr">
        <is>
          <t>JM ELSS Tax Saver Fund</t>
        </is>
      </c>
      <c r="B25" s="8" t="inlineStr">
        <is>
          <t>ELSS</t>
        </is>
      </c>
      <c r="C25" s="8" t="inlineStr">
        <is>
          <t>BSE 500 TRI</t>
        </is>
      </c>
      <c r="D25" s="8" t="inlineStr">
        <is>
          <t>Very High</t>
        </is>
      </c>
      <c r="E25" s="8" t="inlineStr">
        <is>
          <t>Very High</t>
        </is>
      </c>
      <c r="F25" s="9" t="n">
        <v>46023</v>
      </c>
      <c r="G25" s="8" t="n">
        <v>49.9622</v>
      </c>
      <c r="H25" s="8" t="n">
        <v>57.4022</v>
      </c>
      <c r="I25" s="8" t="n">
        <v>2.5938814</v>
      </c>
      <c r="J25" s="8" t="n">
        <v>-4.6951436</v>
      </c>
      <c r="K25" s="8" t="n">
        <v>7.289025</v>
      </c>
      <c r="L25" s="8" t="n">
        <v>21.305305</v>
      </c>
      <c r="M25" s="8" t="n">
        <v>4.891242999999999</v>
      </c>
      <c r="N25" s="8" t="n">
        <v>16.414062</v>
      </c>
      <c r="O25" s="8" t="n">
        <v>19.177086</v>
      </c>
      <c r="P25" s="8" t="n">
        <v>2.450648999999999</v>
      </c>
      <c r="Q25" s="8" t="n">
        <v>16.726437</v>
      </c>
      <c r="R25" s="8" t="n">
        <v>17.31647</v>
      </c>
      <c r="S25" s="8" t="n">
        <v>2.527172999999999</v>
      </c>
      <c r="T25" s="8" t="n">
        <v>14.789297</v>
      </c>
      <c r="U25" s="8" t="n">
        <v>17.28084</v>
      </c>
      <c r="V25" s="8" t="n">
        <v>226.47</v>
      </c>
      <c r="W25" s="8" t="n">
        <v>-0.9077845601722629</v>
      </c>
      <c r="X25" s="8" t="n">
        <v>-1.181778521417819</v>
      </c>
      <c r="Y25" s="8" t="n">
        <v>0.4742807889019514</v>
      </c>
      <c r="Z25" s="8" t="n">
        <v>0.2555640088917258</v>
      </c>
      <c r="AA25" s="8" t="n">
        <v>0.8845725553905419</v>
      </c>
      <c r="AB25" s="8" t="n">
        <v>0.6479286896224459</v>
      </c>
      <c r="AC25" s="8" t="n">
        <v>0.4961374785087177</v>
      </c>
      <c r="AD25" s="8" t="n">
        <v>0.2688026223338649</v>
      </c>
      <c r="AE25" s="8" t="n">
        <v>1.290197</v>
      </c>
      <c r="AF25" s="8" t="n">
        <v>16.060322</v>
      </c>
      <c r="AG25" s="8" t="n">
        <v>19.89836</v>
      </c>
      <c r="AH25" s="8" t="n">
        <v>17.95029</v>
      </c>
      <c r="AI25" s="8" t="n">
        <v>11.705031</v>
      </c>
      <c r="AJ25" s="8" t="n">
        <v>14.405049</v>
      </c>
      <c r="AK25" s="8" t="n">
        <v>9.271305999999999</v>
      </c>
      <c r="AL25" s="8" t="inlineStr">
        <is>
          <t>Equity Scheme - ELSS</t>
        </is>
      </c>
      <c r="AM25" s="8" t="n">
        <v>2.25</v>
      </c>
      <c r="AN25" s="8" t="n">
        <v>0</v>
      </c>
      <c r="AO25" s="8" t="n">
        <v>0</v>
      </c>
      <c r="AP25" s="8" t="n">
        <v>0.12</v>
      </c>
      <c r="AQ25" s="8" t="n">
        <v>2.37</v>
      </c>
      <c r="AR25" s="8" t="n">
        <v>0.89</v>
      </c>
      <c r="AS25" s="8" t="n">
        <v>0</v>
      </c>
      <c r="AT25" s="8" t="n">
        <v>0</v>
      </c>
      <c r="AU25" s="8" t="n">
        <v>0.12</v>
      </c>
      <c r="AV25" s="8" t="n">
        <v>1.01</v>
      </c>
      <c r="AW25" s="17" t="n">
        <v>0.7771448757009718</v>
      </c>
      <c r="AX25" s="18" t="inlineStr">
        <is>
          <t>-2cr</t>
        </is>
      </c>
      <c r="AY25" s="26" t="n">
        <v>1.314654140166757</v>
      </c>
      <c r="AZ25" s="26" t="n">
        <v>1.277701427086964</v>
      </c>
      <c r="BA25" s="26" t="n">
        <v>0.6298470791858667</v>
      </c>
      <c r="BB25" s="28" t="n">
        <v>1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</row>
    <row r="26">
      <c r="A26" s="8" t="inlineStr">
        <is>
          <t>Kotak ELSS Tax Saver Fund</t>
        </is>
      </c>
      <c r="B26" s="8" t="inlineStr">
        <is>
          <t>ELSS</t>
        </is>
      </c>
      <c r="C26" s="8" t="inlineStr">
        <is>
          <t>Nifty 500 TRI</t>
        </is>
      </c>
      <c r="D26" s="8" t="inlineStr">
        <is>
          <t>Very High</t>
        </is>
      </c>
      <c r="E26" s="8" t="inlineStr">
        <is>
          <t>Very High</t>
        </is>
      </c>
      <c r="F26" s="9" t="n">
        <v>46023</v>
      </c>
      <c r="G26" s="8" t="n">
        <v>117.784</v>
      </c>
      <c r="H26" s="8" t="n">
        <v>138.681</v>
      </c>
      <c r="I26" s="8" t="n">
        <v>2.8104382</v>
      </c>
      <c r="J26" s="8" t="n">
        <v>-4.6085901</v>
      </c>
      <c r="K26" s="8" t="n">
        <v>7.4190283</v>
      </c>
      <c r="L26" s="8" t="n">
        <v>16.767357</v>
      </c>
      <c r="M26" s="8" t="n">
        <v>0.04512800000000183</v>
      </c>
      <c r="N26" s="8" t="n">
        <v>16.722229</v>
      </c>
      <c r="O26" s="8" t="n">
        <v>18.341331</v>
      </c>
      <c r="P26" s="8" t="n">
        <v>1.552614000000002</v>
      </c>
      <c r="Q26" s="8" t="n">
        <v>16.788717</v>
      </c>
      <c r="R26" s="8" t="n">
        <v>16.031195</v>
      </c>
      <c r="S26" s="8" t="n">
        <v>1.298256</v>
      </c>
      <c r="T26" s="8" t="n">
        <v>14.732939</v>
      </c>
      <c r="U26" s="8" t="n">
        <v>15.866693</v>
      </c>
      <c r="V26" s="8" t="n">
        <v>6471.51</v>
      </c>
      <c r="W26" s="8" t="n">
        <v>-1.781625041083924</v>
      </c>
      <c r="X26" s="8" t="n">
        <v>-2.233803718799019</v>
      </c>
      <c r="Y26" s="8" t="n">
        <v>0.2892856713096935</v>
      </c>
      <c r="Z26" s="8" t="n">
        <v>-0.07295586081550468</v>
      </c>
      <c r="AA26" s="8" t="n">
        <v>0.01240682651468176</v>
      </c>
      <c r="AB26" s="8" t="n">
        <v>-0.4011674151997775</v>
      </c>
      <c r="AC26" s="8" t="n">
        <v>0.3864935000704474</v>
      </c>
      <c r="AD26" s="8" t="n">
        <v>0.005203940785058142</v>
      </c>
      <c r="AE26" s="8" t="n">
        <v>1.6606249</v>
      </c>
      <c r="AF26" s="8" t="n">
        <v>14.558625</v>
      </c>
      <c r="AG26" s="8" t="n">
        <v>15.37655</v>
      </c>
      <c r="AH26" s="8" t="n">
        <v>16.861343</v>
      </c>
      <c r="AI26" s="8" t="n">
        <v>13.759033</v>
      </c>
      <c r="AJ26" s="8" t="n">
        <v>14.357214</v>
      </c>
      <c r="AK26" s="8" t="n">
        <v>13.04034</v>
      </c>
      <c r="AL26" s="8" t="inlineStr">
        <is>
          <t>Equity Scheme - ELSS</t>
        </is>
      </c>
      <c r="AM26" s="8" t="n">
        <v>1.68</v>
      </c>
      <c r="AN26" s="8" t="n">
        <v>0</v>
      </c>
      <c r="AO26" s="8" t="n">
        <v>0</v>
      </c>
      <c r="AP26" s="8" t="n">
        <v>0.08</v>
      </c>
      <c r="AQ26" s="8" t="n">
        <v>1.76</v>
      </c>
      <c r="AR26" s="8" t="n">
        <v>0.54</v>
      </c>
      <c r="AS26" s="8" t="n">
        <v>0</v>
      </c>
      <c r="AT26" s="8" t="n">
        <v>0</v>
      </c>
      <c r="AU26" s="8" t="n">
        <v>0.08</v>
      </c>
      <c r="AV26" s="8" t="n">
        <v>0.62</v>
      </c>
      <c r="AW26" s="17" t="n">
        <v>0.549639883118464</v>
      </c>
      <c r="AX26" s="18" t="inlineStr">
        <is>
          <t>-36cr</t>
        </is>
      </c>
      <c r="AY26" s="26" t="n">
        <v>0.879307104059919</v>
      </c>
      <c r="AZ26" s="26" t="n">
        <v>1.277701427086964</v>
      </c>
      <c r="BA26" s="26" t="n">
        <v>0.5021225913888397</v>
      </c>
      <c r="BB26" s="28" t="n">
        <v>3</v>
      </c>
      <c r="BC26" t="n">
        <v>0</v>
      </c>
      <c r="BD26" t="n">
        <v>1</v>
      </c>
      <c r="BE26" t="n">
        <v>1</v>
      </c>
      <c r="BF26" t="n">
        <v>0</v>
      </c>
      <c r="BG26" t="n">
        <v>0</v>
      </c>
      <c r="BH26" t="n">
        <v>1</v>
      </c>
    </row>
    <row r="27">
      <c r="A27" s="8" t="inlineStr">
        <is>
          <t>LIC MF ELSS Tax Saver</t>
        </is>
      </c>
      <c r="B27" s="8" t="inlineStr">
        <is>
          <t>ELSS</t>
        </is>
      </c>
      <c r="C27" s="8" t="inlineStr">
        <is>
          <t>Nifty 500 TRI</t>
        </is>
      </c>
      <c r="D27" s="8" t="inlineStr">
        <is>
          <t>Very High</t>
        </is>
      </c>
      <c r="E27" s="8" t="inlineStr">
        <is>
          <t>Very High</t>
        </is>
      </c>
      <c r="F27" s="9" t="n">
        <v>46023</v>
      </c>
      <c r="G27" s="8" t="n">
        <v>154.6535</v>
      </c>
      <c r="H27" s="8" t="n">
        <v>177.5025</v>
      </c>
      <c r="I27" s="8" t="n">
        <v>1.6446736</v>
      </c>
      <c r="J27" s="8" t="n">
        <v>-5.7743547</v>
      </c>
      <c r="K27" s="8" t="n">
        <v>7.4190283</v>
      </c>
      <c r="L27" s="8" t="n">
        <v>17.428665</v>
      </c>
      <c r="M27" s="8" t="n">
        <v>0.7064360000000001</v>
      </c>
      <c r="N27" s="8" t="n">
        <v>16.722229</v>
      </c>
      <c r="O27" s="8" t="n">
        <v>15.524547</v>
      </c>
      <c r="P27" s="8" t="n">
        <v>-1.264169999999998</v>
      </c>
      <c r="Q27" s="8" t="n">
        <v>16.788717</v>
      </c>
      <c r="R27" s="8" t="n">
        <v>13.959632</v>
      </c>
      <c r="S27" s="8" t="n">
        <v>-0.7733070000000009</v>
      </c>
      <c r="T27" s="8" t="n">
        <v>14.732939</v>
      </c>
      <c r="U27" s="8" t="n">
        <v>14.593952</v>
      </c>
      <c r="V27" s="8" t="n">
        <v>1100.26</v>
      </c>
      <c r="W27" s="8" t="n">
        <v>-1.40330966570656</v>
      </c>
      <c r="X27" s="8" t="n">
        <v>-1.696322110996532</v>
      </c>
      <c r="Y27" s="8" t="n">
        <v>-0.1944050743229495</v>
      </c>
      <c r="Z27" s="8" t="n">
        <v>-0.4502311576763431</v>
      </c>
      <c r="AA27" s="8" t="n">
        <v>0.1174350313051801</v>
      </c>
      <c r="AB27" s="8" t="n">
        <v>-0.1601326063148523</v>
      </c>
      <c r="AC27" s="8" t="n">
        <v>-0.3018328696863367</v>
      </c>
      <c r="AD27" s="8" t="n">
        <v>-0.5906216860408124</v>
      </c>
      <c r="AE27" s="8" t="n">
        <v>0.45644453</v>
      </c>
      <c r="AF27" s="8" t="n">
        <v>12.679482</v>
      </c>
      <c r="AG27" s="8" t="n">
        <v>16.08064</v>
      </c>
      <c r="AH27" s="8" t="n">
        <v>14.1836405</v>
      </c>
      <c r="AI27" s="8" t="n">
        <v>13.968425</v>
      </c>
      <c r="AJ27" s="8" t="n">
        <v>14.357214</v>
      </c>
      <c r="AK27" s="8" t="n">
        <v>9.658148000000001</v>
      </c>
      <c r="AL27" s="8" t="inlineStr">
        <is>
          <t>Equity Scheme - ELSS</t>
        </is>
      </c>
      <c r="AM27" s="8" t="n">
        <v>2.05</v>
      </c>
      <c r="AN27" s="8" t="n">
        <v>0</v>
      </c>
      <c r="AO27" s="8" t="n">
        <v>0</v>
      </c>
      <c r="AP27" s="8" t="n">
        <v>0.12</v>
      </c>
      <c r="AQ27" s="8" t="n">
        <v>2.17</v>
      </c>
      <c r="AR27" s="8" t="n">
        <v>0.87</v>
      </c>
      <c r="AS27" s="8" t="n">
        <v>0</v>
      </c>
      <c r="AT27" s="8" t="n">
        <v>0</v>
      </c>
      <c r="AU27" s="8" t="n">
        <v>0.12</v>
      </c>
      <c r="AV27" s="8" t="n">
        <v>0.99</v>
      </c>
      <c r="AW27" s="17" t="n">
        <v>0.3762746987075873</v>
      </c>
      <c r="AX27" s="18" t="inlineStr">
        <is>
          <t>-4cr</t>
        </is>
      </c>
      <c r="AY27" s="26" t="n">
        <v>0.8914734355273258</v>
      </c>
      <c r="AZ27" s="26" t="n">
        <v>1.277701427086964</v>
      </c>
      <c r="BA27" s="26" t="n">
        <v>0.5036089892433147</v>
      </c>
      <c r="BB27" s="28" t="n">
        <v>2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1</v>
      </c>
    </row>
    <row r="28">
      <c r="A28" s="8" t="inlineStr">
        <is>
          <t>Mahindra Manulife ELSS Tax Saver Fund</t>
        </is>
      </c>
      <c r="B28" s="8" t="inlineStr">
        <is>
          <t>ELSS</t>
        </is>
      </c>
      <c r="C28" s="8" t="inlineStr">
        <is>
          <t>Nifty 500 TRI</t>
        </is>
      </c>
      <c r="D28" s="8" t="inlineStr">
        <is>
          <t>Very High</t>
        </is>
      </c>
      <c r="E28" s="8" t="inlineStr">
        <is>
          <t>Very High</t>
        </is>
      </c>
      <c r="F28" s="9" t="n">
        <v>46023</v>
      </c>
      <c r="G28" s="8" t="n">
        <v>29.3087</v>
      </c>
      <c r="H28" s="8" t="n">
        <v>34.6202</v>
      </c>
      <c r="I28" s="8" t="n">
        <v>9.066794</v>
      </c>
      <c r="J28" s="8" t="n">
        <v>1.6477657</v>
      </c>
      <c r="K28" s="8" t="n">
        <v>7.4190283</v>
      </c>
      <c r="L28" s="8" t="n">
        <v>16.845573</v>
      </c>
      <c r="M28" s="8" t="n">
        <v>0.123344000000003</v>
      </c>
      <c r="N28" s="8" t="n">
        <v>16.722229</v>
      </c>
      <c r="O28" s="8" t="n">
        <v>18.513033</v>
      </c>
      <c r="P28" s="8" t="n">
        <v>1.724316000000002</v>
      </c>
      <c r="Q28" s="8" t="n">
        <v>16.788717</v>
      </c>
      <c r="R28" s="8" t="n"/>
      <c r="S28" s="8" t="n"/>
      <c r="T28" s="8" t="n"/>
      <c r="U28" s="8" t="n">
        <v>14.43346</v>
      </c>
      <c r="V28" s="8" t="n">
        <v>975.5599999999999</v>
      </c>
      <c r="W28" s="8" t="n">
        <v>0.4834922731879214</v>
      </c>
      <c r="X28" s="8" t="n">
        <v>-0.06464593650990617</v>
      </c>
      <c r="Y28" s="8" t="n"/>
      <c r="Z28" s="8" t="n"/>
      <c r="AA28" s="8" t="n">
        <v>-0.005545733974389665</v>
      </c>
      <c r="AB28" s="8" t="n">
        <v>-0.5694615047543339</v>
      </c>
      <c r="AC28" s="8" t="n">
        <v>0.457175417021937</v>
      </c>
      <c r="AD28" s="8" t="n">
        <v>-0.09732966912559406</v>
      </c>
      <c r="AE28" s="8" t="n">
        <v>7.3897386</v>
      </c>
      <c r="AF28" s="8" t="n"/>
      <c r="AG28" s="8" t="n">
        <v>15.007591</v>
      </c>
      <c r="AH28" s="8" t="n">
        <v>16.597052</v>
      </c>
      <c r="AI28" s="8" t="n">
        <v>14.63385</v>
      </c>
      <c r="AJ28" s="8" t="n">
        <v>14.63385</v>
      </c>
      <c r="AK28" s="8" t="n">
        <v>12.382866</v>
      </c>
      <c r="AL28" s="8" t="inlineStr">
        <is>
          <t>Equity Scheme - ELSS</t>
        </is>
      </c>
      <c r="AM28" s="8" t="n">
        <v>2.08</v>
      </c>
      <c r="AN28" s="8" t="n">
        <v>0</v>
      </c>
      <c r="AO28" s="8" t="n">
        <v>0</v>
      </c>
      <c r="AP28" s="8" t="n">
        <v>0.08</v>
      </c>
      <c r="AQ28" s="8" t="n">
        <v>2.16</v>
      </c>
      <c r="AR28" s="8" t="n">
        <v>0.54</v>
      </c>
      <c r="AS28" s="8" t="n">
        <v>0</v>
      </c>
      <c r="AT28" s="8" t="n">
        <v>0</v>
      </c>
      <c r="AU28" s="8" t="n">
        <v>0.08</v>
      </c>
      <c r="AV28" s="8" t="n">
        <v>0.62</v>
      </c>
      <c r="AW28" s="17" t="n">
        <v>0.3741440813481581</v>
      </c>
      <c r="AX28" s="18" t="inlineStr">
        <is>
          <t>-4cr</t>
        </is>
      </c>
      <c r="AY28" s="26" t="n">
        <v>1.1969992293156</v>
      </c>
      <c r="AZ28" s="26" t="n">
        <v>1.277701427086964</v>
      </c>
      <c r="BA28" s="26" t="n">
        <v>0.4671423104900023</v>
      </c>
      <c r="BB28" s="28" t="n">
        <v>5</v>
      </c>
      <c r="BC28" t="n">
        <v>1</v>
      </c>
      <c r="BD28" t="n">
        <v>1</v>
      </c>
      <c r="BE28" t="n">
        <v>1</v>
      </c>
      <c r="BF28" t="n">
        <v>1</v>
      </c>
      <c r="BG28" t="n">
        <v>0</v>
      </c>
      <c r="BH28" t="n">
        <v>1</v>
      </c>
    </row>
    <row r="29">
      <c r="A29" s="8" t="inlineStr">
        <is>
          <t>Mirae Asset ELSS Tax Saver Fund</t>
        </is>
      </c>
      <c r="B29" s="8" t="inlineStr">
        <is>
          <t>ELSS</t>
        </is>
      </c>
      <c r="C29" s="8" t="inlineStr">
        <is>
          <t>Nifty 500 TRI</t>
        </is>
      </c>
      <c r="D29" s="8" t="inlineStr">
        <is>
          <t>Very High</t>
        </is>
      </c>
      <c r="E29" s="8" t="inlineStr">
        <is>
          <t>Very High</t>
        </is>
      </c>
      <c r="F29" s="9" t="n">
        <v>46023</v>
      </c>
      <c r="G29" s="8" t="n">
        <v>51.125</v>
      </c>
      <c r="H29" s="8" t="n">
        <v>58.094</v>
      </c>
      <c r="I29" s="8" t="n">
        <v>10.272959</v>
      </c>
      <c r="J29" s="8" t="n">
        <v>2.8539307</v>
      </c>
      <c r="K29" s="8" t="n">
        <v>7.4190283</v>
      </c>
      <c r="L29" s="8" t="n">
        <v>18.850582</v>
      </c>
      <c r="M29" s="8" t="n">
        <v>2.128353000000001</v>
      </c>
      <c r="N29" s="8" t="n">
        <v>16.722229</v>
      </c>
      <c r="O29" s="8" t="n">
        <v>18.360037</v>
      </c>
      <c r="P29" s="8" t="n">
        <v>1.57132</v>
      </c>
      <c r="Q29" s="8" t="n">
        <v>16.788717</v>
      </c>
      <c r="R29" s="8" t="n">
        <v>19.129007</v>
      </c>
      <c r="S29" s="8" t="n">
        <v>4.396068000000001</v>
      </c>
      <c r="T29" s="8" t="n">
        <v>14.732939</v>
      </c>
      <c r="U29" s="8" t="n">
        <v>19.197422</v>
      </c>
      <c r="V29" s="8" t="n">
        <v>27169.11</v>
      </c>
      <c r="W29" s="8" t="n">
        <v>1.232247053195948</v>
      </c>
      <c r="X29" s="8" t="n">
        <v>0.773964755592226</v>
      </c>
      <c r="Y29" s="8" t="n">
        <v>1.250931297799172</v>
      </c>
      <c r="Z29" s="8" t="n">
        <v>0.8298896956721702</v>
      </c>
      <c r="AA29" s="8" t="n">
        <v>0.6900045141072546</v>
      </c>
      <c r="AB29" s="8" t="n">
        <v>0.2990111909392443</v>
      </c>
      <c r="AC29" s="8" t="n">
        <v>0.483943583267404</v>
      </c>
      <c r="AD29" s="8" t="n">
        <v>0.06596468220941518</v>
      </c>
      <c r="AE29" s="8" t="n">
        <v>9.220449</v>
      </c>
      <c r="AF29" s="8" t="n">
        <v>17.619925</v>
      </c>
      <c r="AG29" s="8" t="n">
        <v>17.678543</v>
      </c>
      <c r="AH29" s="8" t="n">
        <v>17.06196</v>
      </c>
      <c r="AI29" s="8" t="n">
        <v>14.805836</v>
      </c>
      <c r="AJ29" s="8" t="n">
        <v>14.805836</v>
      </c>
      <c r="AK29" s="8" t="n">
        <v>17.686783</v>
      </c>
      <c r="AL29" s="8" t="inlineStr">
        <is>
          <t>Equity Scheme - ELSS</t>
        </is>
      </c>
      <c r="AM29" s="8" t="n">
        <v>1.47</v>
      </c>
      <c r="AN29" s="8" t="n">
        <v>0</v>
      </c>
      <c r="AO29" s="8" t="n">
        <v>0</v>
      </c>
      <c r="AP29" s="8" t="n">
        <v>0.08</v>
      </c>
      <c r="AQ29" s="8" t="n">
        <v>1.55</v>
      </c>
      <c r="AR29" s="8" t="n">
        <v>0.5</v>
      </c>
      <c r="AS29" s="8" t="n">
        <v>0</v>
      </c>
      <c r="AT29" s="8" t="n">
        <v>0</v>
      </c>
      <c r="AU29" s="8" t="n">
        <v>0.08</v>
      </c>
      <c r="AV29" s="8" t="n">
        <v>0.58</v>
      </c>
      <c r="AW29" s="17" t="n">
        <v>0.1465635053927041</v>
      </c>
      <c r="AX29" s="18" t="inlineStr">
        <is>
          <t>-40cr</t>
        </is>
      </c>
      <c r="AY29" s="26" t="n">
        <v>1.425123965756752</v>
      </c>
      <c r="AZ29" s="26" t="n">
        <v>1.277701427086964</v>
      </c>
      <c r="BA29" s="26" t="n">
        <v>0.5041905266352689</v>
      </c>
      <c r="BB29" s="28" t="n">
        <v>5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0</v>
      </c>
    </row>
    <row r="30">
      <c r="A30" s="8" t="inlineStr">
        <is>
          <t>Motilal Oswal ELSS Tax Saver Fund</t>
        </is>
      </c>
      <c r="B30" s="8" t="inlineStr">
        <is>
          <t>ELSS</t>
        </is>
      </c>
      <c r="C30" s="8" t="inlineStr">
        <is>
          <t>Nifty 500 TRI</t>
        </is>
      </c>
      <c r="D30" s="8" t="inlineStr">
        <is>
          <t>Very High</t>
        </is>
      </c>
      <c r="E30" s="8" t="inlineStr">
        <is>
          <t>Very High</t>
        </is>
      </c>
      <c r="F30" s="9" t="n">
        <v>46023</v>
      </c>
      <c r="G30" s="8" t="n">
        <v>50.4523</v>
      </c>
      <c r="H30" s="8" t="n">
        <v>58.1101</v>
      </c>
      <c r="I30" s="8" t="n">
        <v>-8.834889</v>
      </c>
      <c r="J30" s="8" t="n">
        <v>-16.2539173</v>
      </c>
      <c r="K30" s="8" t="n">
        <v>7.4190283</v>
      </c>
      <c r="L30" s="8" t="n">
        <v>23.888384</v>
      </c>
      <c r="M30" s="8" t="n">
        <v>7.166155</v>
      </c>
      <c r="N30" s="8" t="n">
        <v>16.722229</v>
      </c>
      <c r="O30" s="8" t="n">
        <v>21.150333</v>
      </c>
      <c r="P30" s="8" t="n">
        <v>4.361616000000001</v>
      </c>
      <c r="Q30" s="8" t="n">
        <v>16.788717</v>
      </c>
      <c r="R30" s="8" t="n">
        <v>17.532055</v>
      </c>
      <c r="S30" s="8" t="n">
        <v>2.799116</v>
      </c>
      <c r="T30" s="8" t="n">
        <v>14.732939</v>
      </c>
      <c r="U30" s="8" t="n">
        <v>17.42832</v>
      </c>
      <c r="V30" s="8" t="n">
        <v>4334.26</v>
      </c>
      <c r="W30" s="8" t="n">
        <v>-1.302952377658223</v>
      </c>
      <c r="X30" s="8" t="n">
        <v>-1.404957489247906</v>
      </c>
      <c r="Y30" s="8" t="n">
        <v>0.3698630619889299</v>
      </c>
      <c r="Z30" s="8" t="n">
        <v>0.1897241188829787</v>
      </c>
      <c r="AA30" s="8" t="n">
        <v>0.7363651725103503</v>
      </c>
      <c r="AB30" s="8" t="n">
        <v>0.6040846935972691</v>
      </c>
      <c r="AC30" s="8" t="n">
        <v>0.5213356880449688</v>
      </c>
      <c r="AD30" s="8" t="n">
        <v>0.3660248521562876</v>
      </c>
      <c r="AE30" s="8" t="n">
        <v>-9.897596999999999</v>
      </c>
      <c r="AF30" s="8" t="n">
        <v>16.022108</v>
      </c>
      <c r="AG30" s="8" t="n">
        <v>22.42216</v>
      </c>
      <c r="AH30" s="8" t="n">
        <v>19.684958</v>
      </c>
      <c r="AI30" s="8" t="n">
        <v>12.961965</v>
      </c>
      <c r="AJ30" s="8" t="n">
        <v>12.961965</v>
      </c>
      <c r="AK30" s="8" t="n">
        <v>15.923097</v>
      </c>
      <c r="AL30" s="8" t="inlineStr">
        <is>
          <t>Equity Scheme - ELSS</t>
        </is>
      </c>
      <c r="AM30" s="8" t="n">
        <v>1.75</v>
      </c>
      <c r="AN30" s="8" t="n">
        <v>0</v>
      </c>
      <c r="AO30" s="8" t="n">
        <v>0</v>
      </c>
      <c r="AP30" s="8" t="n">
        <v>0.08</v>
      </c>
      <c r="AQ30" s="8" t="n">
        <v>1.83</v>
      </c>
      <c r="AR30" s="8" t="n">
        <v>0.57</v>
      </c>
      <c r="AS30" s="8" t="n">
        <v>0</v>
      </c>
      <c r="AT30" s="8" t="n">
        <v>0</v>
      </c>
      <c r="AU30" s="8" t="n">
        <v>0.08</v>
      </c>
      <c r="AV30" s="8" t="n">
        <v>0.65</v>
      </c>
      <c r="AW30" s="17" t="n">
        <v>2.626053813107652</v>
      </c>
      <c r="AX30" s="18" t="inlineStr">
        <is>
          <t>-114cr</t>
        </is>
      </c>
      <c r="AY30" s="26" t="n">
        <v>2.379244946706549</v>
      </c>
      <c r="AZ30" s="26" t="n">
        <v>1.277701427086964</v>
      </c>
      <c r="BA30" s="26" t="n">
        <v>0.8679325184451773</v>
      </c>
      <c r="BB30" s="28" t="n">
        <v>2</v>
      </c>
      <c r="BC30" t="n">
        <v>0</v>
      </c>
      <c r="BD30" t="n">
        <v>1</v>
      </c>
      <c r="BE30" t="n">
        <v>1</v>
      </c>
      <c r="BF30" t="n">
        <v>0</v>
      </c>
      <c r="BG30" t="n">
        <v>0</v>
      </c>
      <c r="BH30" t="n">
        <v>0</v>
      </c>
    </row>
    <row r="31">
      <c r="A31" s="8" t="inlineStr">
        <is>
          <t>Navi ELSS Tax Saver Fund</t>
        </is>
      </c>
      <c r="B31" s="8" t="inlineStr">
        <is>
          <t>ELSS</t>
        </is>
      </c>
      <c r="C31" s="8" t="inlineStr">
        <is>
          <t>BSE 100 TRI</t>
        </is>
      </c>
      <c r="D31" s="8" t="inlineStr">
        <is>
          <t>Very High</t>
        </is>
      </c>
      <c r="E31" s="8" t="inlineStr">
        <is>
          <t>Very High</t>
        </is>
      </c>
      <c r="F31" s="9" t="n">
        <v>46023</v>
      </c>
      <c r="G31" s="8" t="n">
        <v>29.7284</v>
      </c>
      <c r="H31" s="8" t="n">
        <v>35.5468</v>
      </c>
      <c r="I31" s="8" t="n">
        <v>6.0196548</v>
      </c>
      <c r="J31" s="8" t="n">
        <v>-4.129360200000001</v>
      </c>
      <c r="K31" s="8" t="n">
        <v>10.149015</v>
      </c>
      <c r="L31" s="8" t="n">
        <v>15.330151</v>
      </c>
      <c r="M31" s="8" t="n">
        <v>-0.2173839999999991</v>
      </c>
      <c r="N31" s="8" t="n">
        <v>15.547535</v>
      </c>
      <c r="O31" s="8" t="n">
        <v>14.98163</v>
      </c>
      <c r="P31" s="8" t="n">
        <v>-0.6160020000000017</v>
      </c>
      <c r="Q31" s="8" t="n">
        <v>15.597632</v>
      </c>
      <c r="R31" s="8" t="n">
        <v>13.379338</v>
      </c>
      <c r="S31" s="8" t="n">
        <v>-1.025917999999999</v>
      </c>
      <c r="T31" s="8" t="n">
        <v>14.405256</v>
      </c>
      <c r="U31" s="8" t="n">
        <v>13.502311</v>
      </c>
      <c r="V31" s="8" t="n">
        <v>53.27</v>
      </c>
      <c r="W31" s="8" t="n">
        <v>-0.79046295146704</v>
      </c>
      <c r="X31" s="8" t="n">
        <v>-1.190617130652397</v>
      </c>
      <c r="Y31" s="8" t="n">
        <v>-0.1948351439525033</v>
      </c>
      <c r="Z31" s="8" t="n">
        <v>-0.5295747148495171</v>
      </c>
      <c r="AA31" s="8" t="n">
        <v>-0.0522211678936736</v>
      </c>
      <c r="AB31" s="8" t="n">
        <v>-0.4665919949899571</v>
      </c>
      <c r="AC31" s="8" t="n">
        <v>-0.1289057915246523</v>
      </c>
      <c r="AD31" s="8" t="n">
        <v>-0.5631541171308777</v>
      </c>
      <c r="AE31" s="8" t="n">
        <v>4.035303</v>
      </c>
      <c r="AF31" s="8" t="n">
        <v>11.373673</v>
      </c>
      <c r="AG31" s="8" t="n">
        <v>13.168012</v>
      </c>
      <c r="AH31" s="8" t="n">
        <v>12.808406</v>
      </c>
      <c r="AI31" s="8" t="n">
        <v>14.499585</v>
      </c>
      <c r="AJ31" s="8" t="n">
        <v>14.499585</v>
      </c>
      <c r="AK31" s="8" t="n">
        <v>11.494238</v>
      </c>
      <c r="AL31" s="8" t="inlineStr">
        <is>
          <t>Equity Scheme - ELSS</t>
        </is>
      </c>
      <c r="AM31" s="8" t="n">
        <v>2.25</v>
      </c>
      <c r="AN31" s="8" t="n">
        <v>0</v>
      </c>
      <c r="AO31" s="8" t="n">
        <v>0</v>
      </c>
      <c r="AP31" s="8" t="n">
        <v>0.04</v>
      </c>
      <c r="AQ31" s="8" t="n">
        <v>2.29</v>
      </c>
      <c r="AR31" s="8" t="n">
        <v>0.37</v>
      </c>
      <c r="AS31" s="8" t="n">
        <v>0</v>
      </c>
      <c r="AT31" s="8" t="n">
        <v>0</v>
      </c>
      <c r="AU31" s="8" t="n">
        <v>0.02</v>
      </c>
      <c r="AV31" s="8" t="n">
        <v>0.39</v>
      </c>
      <c r="AW31" s="17" t="n">
        <v>1.745823165008447</v>
      </c>
      <c r="AX31" s="18" t="inlineStr">
        <is>
          <t>-1cr</t>
        </is>
      </c>
      <c r="AY31" s="26" t="n">
        <v>1.993816219622226</v>
      </c>
      <c r="AZ31" s="26" t="n">
        <v>1.277701427086964</v>
      </c>
      <c r="BA31" s="26" t="n">
        <v>0.5475078497490625</v>
      </c>
      <c r="BB31" s="28" t="n">
        <v>3</v>
      </c>
      <c r="BC31" t="n">
        <v>1</v>
      </c>
      <c r="BD31" t="n">
        <v>1</v>
      </c>
      <c r="BE31" t="n">
        <v>1</v>
      </c>
      <c r="BF31" t="n">
        <v>0</v>
      </c>
      <c r="BG31" t="n">
        <v>0</v>
      </c>
      <c r="BH31" t="n">
        <v>0</v>
      </c>
    </row>
    <row r="32">
      <c r="A32" s="8" t="inlineStr">
        <is>
          <t>Nippon India ELSS Tax Saver Fund</t>
        </is>
      </c>
      <c r="B32" s="8" t="inlineStr">
        <is>
          <t>ELSS</t>
        </is>
      </c>
      <c r="C32" s="8" t="inlineStr">
        <is>
          <t>Nifty 500 TRI</t>
        </is>
      </c>
      <c r="D32" s="8" t="inlineStr">
        <is>
          <t>Very High</t>
        </is>
      </c>
      <c r="E32" s="8" t="inlineStr">
        <is>
          <t>Very High</t>
        </is>
      </c>
      <c r="F32" s="9" t="n">
        <v>46023</v>
      </c>
      <c r="G32" s="8" t="n">
        <v>130.8556</v>
      </c>
      <c r="H32" s="8" t="n">
        <v>144.0735</v>
      </c>
      <c r="I32" s="8" t="n">
        <v>6.9087954</v>
      </c>
      <c r="J32" s="8" t="n">
        <v>-0.5102329000000001</v>
      </c>
      <c r="K32" s="8" t="n">
        <v>7.4190283</v>
      </c>
      <c r="L32" s="8" t="n">
        <v>17.880226</v>
      </c>
      <c r="M32" s="8" t="n">
        <v>1.157997000000002</v>
      </c>
      <c r="N32" s="8" t="n">
        <v>16.722229</v>
      </c>
      <c r="O32" s="8" t="n">
        <v>19.467459</v>
      </c>
      <c r="P32" s="8" t="n">
        <v>2.678742000000003</v>
      </c>
      <c r="Q32" s="8" t="n">
        <v>16.788717</v>
      </c>
      <c r="R32" s="8" t="n">
        <v>11.950985</v>
      </c>
      <c r="S32" s="8" t="n">
        <v>-2.781954000000001</v>
      </c>
      <c r="T32" s="8" t="n">
        <v>14.732939</v>
      </c>
      <c r="U32" s="8" t="n">
        <v>14.457932</v>
      </c>
      <c r="V32" s="8" t="n">
        <v>15291.25</v>
      </c>
      <c r="W32" s="8" t="n">
        <v>-0.1881303296053904</v>
      </c>
      <c r="X32" s="8" t="n">
        <v>-0.4617533098512533</v>
      </c>
      <c r="Y32" s="8" t="n">
        <v>-0.4065731836181649</v>
      </c>
      <c r="Z32" s="8" t="n">
        <v>-0.5466829282470529</v>
      </c>
      <c r="AA32" s="8" t="n">
        <v>0.368718216546059</v>
      </c>
      <c r="AB32" s="8" t="n">
        <v>0.1306327635834885</v>
      </c>
      <c r="AC32" s="8" t="n">
        <v>0.8246944289273648</v>
      </c>
      <c r="AD32" s="8" t="n">
        <v>0.5791307902450622</v>
      </c>
      <c r="AE32" s="8" t="n">
        <v>6.185174</v>
      </c>
      <c r="AF32" s="8" t="n">
        <v>11.10603</v>
      </c>
      <c r="AG32" s="8" t="n">
        <v>17.0932</v>
      </c>
      <c r="AH32" s="8" t="n">
        <v>18.64158</v>
      </c>
      <c r="AI32" s="8" t="n">
        <v>13.627757</v>
      </c>
      <c r="AJ32" s="8" t="n">
        <v>14.357214</v>
      </c>
      <c r="AK32" s="8" t="n">
        <v>13.509698</v>
      </c>
      <c r="AL32" s="8" t="inlineStr">
        <is>
          <t>Equity Scheme - ELSS</t>
        </is>
      </c>
      <c r="AM32" s="8" t="n">
        <v>1.56</v>
      </c>
      <c r="AN32" s="8" t="n">
        <v>0</v>
      </c>
      <c r="AO32" s="8" t="n">
        <v>0</v>
      </c>
      <c r="AP32" s="8" t="n">
        <v>0.15</v>
      </c>
      <c r="AQ32" s="8" t="n">
        <v>1.71</v>
      </c>
      <c r="AR32" s="8" t="n">
        <v>0.88</v>
      </c>
      <c r="AS32" s="8" t="n">
        <v>0</v>
      </c>
      <c r="AT32" s="8" t="n">
        <v>0</v>
      </c>
      <c r="AU32" s="8" t="n">
        <v>0.15</v>
      </c>
      <c r="AV32" s="8" t="n">
        <v>1.03</v>
      </c>
      <c r="AW32" s="17" t="n">
        <v>1.500858334014551</v>
      </c>
      <c r="AX32" s="18" t="inlineStr">
        <is>
          <t>-230cr</t>
        </is>
      </c>
      <c r="AY32" s="26" t="n">
        <v>1.128457529128535</v>
      </c>
      <c r="AZ32" s="26" t="n">
        <v>1.277701427086964</v>
      </c>
      <c r="BA32" s="26" t="n">
        <v>0.513764131208257</v>
      </c>
      <c r="BB32" s="28" t="n">
        <v>3</v>
      </c>
      <c r="BC32" t="n">
        <v>1</v>
      </c>
      <c r="BD32" t="n">
        <v>1</v>
      </c>
      <c r="BE32" t="n">
        <v>0</v>
      </c>
      <c r="BF32" t="n">
        <v>0</v>
      </c>
      <c r="BG32" t="n">
        <v>0</v>
      </c>
      <c r="BH32" t="n">
        <v>1</v>
      </c>
    </row>
    <row r="33">
      <c r="A33" s="8" t="inlineStr">
        <is>
          <t>NJ ELSS Tax Saver Scheme</t>
        </is>
      </c>
      <c r="B33" s="8" t="inlineStr">
        <is>
          <t>ELSS</t>
        </is>
      </c>
      <c r="C33" s="8" t="inlineStr">
        <is>
          <t>Nifty 500 TRI</t>
        </is>
      </c>
      <c r="D33" s="8" t="inlineStr">
        <is>
          <t>Very High</t>
        </is>
      </c>
      <c r="E33" s="8" t="inlineStr">
        <is>
          <t>Very High</t>
        </is>
      </c>
      <c r="F33" s="9" t="n">
        <v>46023</v>
      </c>
      <c r="G33" s="8" t="n">
        <v>14.03</v>
      </c>
      <c r="H33" s="8" t="n">
        <v>14.68</v>
      </c>
      <c r="I33" s="8" t="n">
        <v>-3.5479631</v>
      </c>
      <c r="J33" s="8" t="n">
        <v>-10.9669914</v>
      </c>
      <c r="K33" s="8" t="n">
        <v>7.4190283</v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>
        <v>16.261385</v>
      </c>
      <c r="V33" s="8" t="n">
        <v>314.5</v>
      </c>
      <c r="W33" s="8" t="n">
        <v>-1.439219197157824</v>
      </c>
      <c r="X33" s="8" t="n">
        <v>-1.675878056129992</v>
      </c>
      <c r="Y33" s="8" t="n"/>
      <c r="Z33" s="8" t="n"/>
      <c r="AA33" s="8" t="n"/>
      <c r="AB33" s="8" t="n"/>
      <c r="AC33" s="8" t="n"/>
      <c r="AD33" s="8" t="n"/>
      <c r="AE33" s="8" t="n">
        <v>-5.2027025</v>
      </c>
      <c r="AF33" s="8" t="n"/>
      <c r="AG33" s="8" t="n"/>
      <c r="AH33" s="8" t="n"/>
      <c r="AI33" s="8" t="n">
        <v>17.670248</v>
      </c>
      <c r="AJ33" s="8" t="n">
        <v>17.670248</v>
      </c>
      <c r="AK33" s="8" t="n">
        <v>14.213169</v>
      </c>
      <c r="AL33" s="8" t="inlineStr">
        <is>
          <t>Equity Scheme - ELSS</t>
        </is>
      </c>
      <c r="AM33" s="8" t="n">
        <v>2.25</v>
      </c>
      <c r="AN33" s="8" t="n">
        <v>0</v>
      </c>
      <c r="AO33" s="8" t="n">
        <v>0</v>
      </c>
      <c r="AP33" s="8" t="n">
        <v>0.09</v>
      </c>
      <c r="AQ33" s="8" t="n">
        <v>2.34</v>
      </c>
      <c r="AR33" s="8" t="n">
        <v>0.57</v>
      </c>
      <c r="AS33" s="8" t="n">
        <v>0</v>
      </c>
      <c r="AT33" s="8" t="n">
        <v>0</v>
      </c>
      <c r="AU33" s="8" t="n">
        <v>0.08</v>
      </c>
      <c r="AV33" s="8" t="n">
        <v>0.65</v>
      </c>
      <c r="AW33" s="17" t="n">
        <v>-0.6772655007949111</v>
      </c>
      <c r="AX33" t="inlineStr">
        <is>
          <t>2cr</t>
        </is>
      </c>
      <c r="AY33" s="26" t="n">
        <v>0.7028078127179814</v>
      </c>
      <c r="AZ33" s="26" t="n">
        <v>1.277701427086964</v>
      </c>
      <c r="BA33" s="26" t="n">
        <v>0.4346628128042803</v>
      </c>
      <c r="BB33" s="28" t="n">
        <v>2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1</v>
      </c>
    </row>
    <row r="34">
      <c r="A34" s="8" t="inlineStr">
        <is>
          <t>Parag Parikh ELSS Tax Saver Fund</t>
        </is>
      </c>
      <c r="B34" s="8" t="inlineStr">
        <is>
          <t>ELSS</t>
        </is>
      </c>
      <c r="C34" s="8" t="inlineStr">
        <is>
          <t>Nifty 500 TRI</t>
        </is>
      </c>
      <c r="D34" s="8" t="inlineStr">
        <is>
          <t>Very High</t>
        </is>
      </c>
      <c r="E34" s="8" t="inlineStr">
        <is>
          <t>Very High</t>
        </is>
      </c>
      <c r="F34" s="9" t="n">
        <v>46023</v>
      </c>
      <c r="G34" s="8" t="n">
        <v>31.9265</v>
      </c>
      <c r="H34" s="8" t="n">
        <v>34.4831</v>
      </c>
      <c r="I34" s="8" t="n">
        <v>5.64125</v>
      </c>
      <c r="J34" s="8" t="n">
        <v>-1.7777783</v>
      </c>
      <c r="K34" s="8" t="n">
        <v>7.4190283</v>
      </c>
      <c r="L34" s="8" t="n">
        <v>18.417963</v>
      </c>
      <c r="M34" s="8" t="n">
        <v>1.695734000000002</v>
      </c>
      <c r="N34" s="8" t="n">
        <v>16.722229</v>
      </c>
      <c r="O34" s="8" t="n">
        <v>19.493807</v>
      </c>
      <c r="P34" s="8" t="n">
        <v>2.705090000000002</v>
      </c>
      <c r="Q34" s="8" t="n">
        <v>16.788717</v>
      </c>
      <c r="R34" s="8" t="n"/>
      <c r="S34" s="8" t="n"/>
      <c r="T34" s="8" t="n"/>
      <c r="U34" s="8" t="n">
        <v>21.169716</v>
      </c>
      <c r="V34" s="8" t="n">
        <v>5903.35</v>
      </c>
      <c r="W34" s="8" t="n">
        <v>-0.329860971691125</v>
      </c>
      <c r="X34" s="8" t="n">
        <v>-0.513992842809186</v>
      </c>
      <c r="Y34" s="8" t="n"/>
      <c r="Z34" s="8" t="n"/>
      <c r="AA34" s="8" t="n">
        <v>0.2065842387178341</v>
      </c>
      <c r="AB34" s="8" t="n">
        <v>0.004858780846422081</v>
      </c>
      <c r="AC34" s="8" t="n">
        <v>0.3178082500243952</v>
      </c>
      <c r="AD34" s="8" t="n">
        <v>0.1200024848041216</v>
      </c>
      <c r="AE34" s="8" t="n">
        <v>4.492047</v>
      </c>
      <c r="AF34" s="8" t="n"/>
      <c r="AG34" s="8" t="n">
        <v>17.11404</v>
      </c>
      <c r="AH34" s="8" t="n">
        <v>18.08259</v>
      </c>
      <c r="AI34" s="8" t="n">
        <v>17.23789</v>
      </c>
      <c r="AJ34" s="8" t="n">
        <v>17.23789</v>
      </c>
      <c r="AK34" s="8" t="n">
        <v>19.730423</v>
      </c>
      <c r="AL34" s="8" t="inlineStr">
        <is>
          <t>Equity Scheme - ELSS</t>
        </is>
      </c>
      <c r="AM34" s="8" t="n">
        <v>1.64</v>
      </c>
      <c r="AN34" s="8" t="n">
        <v>0</v>
      </c>
      <c r="AO34" s="8" t="n">
        <v>0</v>
      </c>
      <c r="AP34" s="8" t="n">
        <v>0.08</v>
      </c>
      <c r="AQ34" s="8" t="n">
        <v>1.72</v>
      </c>
      <c r="AR34" s="8" t="n">
        <v>0.54</v>
      </c>
      <c r="AS34" s="8" t="n">
        <v>0</v>
      </c>
      <c r="AT34" s="8" t="n">
        <v>0</v>
      </c>
      <c r="AU34" s="8" t="n">
        <v>0.08</v>
      </c>
      <c r="AV34" s="8" t="n">
        <v>0.62</v>
      </c>
      <c r="AW34" s="17" t="n">
        <v>-0.6853735590808614</v>
      </c>
      <c r="AX34" t="inlineStr">
        <is>
          <t>40cr</t>
        </is>
      </c>
      <c r="AY34" s="26" t="n">
        <v>0.8354212878894588</v>
      </c>
      <c r="AZ34" s="26" t="n">
        <v>1.277701427086964</v>
      </c>
      <c r="BA34" s="26" t="n">
        <v>0.4451343483129358</v>
      </c>
      <c r="BB34" s="28" t="n">
        <v>3</v>
      </c>
      <c r="BC34" t="n">
        <v>1</v>
      </c>
      <c r="BD34" t="n">
        <v>0</v>
      </c>
      <c r="BE34" t="n">
        <v>1</v>
      </c>
      <c r="BF34" t="n">
        <v>0</v>
      </c>
      <c r="BG34" t="n">
        <v>0</v>
      </c>
      <c r="BH34" t="n">
        <v>1</v>
      </c>
    </row>
    <row r="35">
      <c r="A35" s="8" t="inlineStr">
        <is>
          <t>PGIM India ELSS Tax Saver Fund</t>
        </is>
      </c>
      <c r="B35" s="8" t="inlineStr">
        <is>
          <t>ELSS</t>
        </is>
      </c>
      <c r="C35" s="8" t="inlineStr">
        <is>
          <t>Nifty 500 TRI</t>
        </is>
      </c>
      <c r="D35" s="8" t="inlineStr">
        <is>
          <t>Very High</t>
        </is>
      </c>
      <c r="E35" s="8" t="inlineStr">
        <is>
          <t>Very High</t>
        </is>
      </c>
      <c r="F35" s="9" t="n">
        <v>46023</v>
      </c>
      <c r="G35" s="8" t="n">
        <v>35</v>
      </c>
      <c r="H35" s="8" t="n">
        <v>40.33</v>
      </c>
      <c r="I35" s="8" t="n">
        <v>2.856414</v>
      </c>
      <c r="J35" s="8" t="n">
        <v>-4.5626143</v>
      </c>
      <c r="K35" s="8" t="n">
        <v>7.4190283</v>
      </c>
      <c r="L35" s="8" t="n">
        <v>13.753425</v>
      </c>
      <c r="M35" s="8" t="n">
        <v>-2.968803999999999</v>
      </c>
      <c r="N35" s="8" t="n">
        <v>16.722229</v>
      </c>
      <c r="O35" s="8" t="n">
        <v>16.680895</v>
      </c>
      <c r="P35" s="8" t="n">
        <v>-0.1078219999999988</v>
      </c>
      <c r="Q35" s="8" t="n">
        <v>16.788717</v>
      </c>
      <c r="R35" s="8" t="n">
        <v>14.600974</v>
      </c>
      <c r="S35" s="8" t="n">
        <v>-0.1319649999999992</v>
      </c>
      <c r="T35" s="8" t="n">
        <v>14.732939</v>
      </c>
      <c r="U35" s="8" t="n">
        <v>14.859574</v>
      </c>
      <c r="V35" s="8" t="n">
        <v>767.41</v>
      </c>
      <c r="W35" s="8" t="n">
        <v>-1.336743303532935</v>
      </c>
      <c r="X35" s="8" t="n">
        <v>-1.794002898259203</v>
      </c>
      <c r="Y35" s="8" t="n">
        <v>-0.07559379384048057</v>
      </c>
      <c r="Z35" s="8" t="n">
        <v>-0.4561752512157804</v>
      </c>
      <c r="AA35" s="8" t="n">
        <v>-0.7770618257647816</v>
      </c>
      <c r="AB35" s="8" t="n">
        <v>-1.208607436819924</v>
      </c>
      <c r="AC35" s="8" t="n">
        <v>-0.06534999629295263</v>
      </c>
      <c r="AD35" s="8" t="n">
        <v>-0.4503719650829706</v>
      </c>
      <c r="AE35" s="8" t="n">
        <v>1.3317893</v>
      </c>
      <c r="AF35" s="8" t="n">
        <v>12.989307</v>
      </c>
      <c r="AG35" s="8" t="n">
        <v>12.058572</v>
      </c>
      <c r="AH35" s="8" t="n">
        <v>15.032436</v>
      </c>
      <c r="AI35" s="8" t="n">
        <v>15.212329</v>
      </c>
      <c r="AJ35" s="8" t="n">
        <v>15.212329</v>
      </c>
      <c r="AK35" s="8" t="n">
        <v>13.253439</v>
      </c>
      <c r="AL35" s="8" t="inlineStr">
        <is>
          <t>Equity Scheme - ELSS</t>
        </is>
      </c>
      <c r="AM35" s="8" t="n">
        <v>2.17</v>
      </c>
      <c r="AN35" s="8" t="n">
        <v>0</v>
      </c>
      <c r="AO35" s="8" t="n">
        <v>0</v>
      </c>
      <c r="AP35" s="8" t="n">
        <v>0.1</v>
      </c>
      <c r="AQ35" s="8" t="n">
        <v>2.27</v>
      </c>
      <c r="AR35" s="8" t="n">
        <v>0.65</v>
      </c>
      <c r="AS35" s="8" t="n">
        <v>0</v>
      </c>
      <c r="AT35" s="8" t="n">
        <v>0</v>
      </c>
      <c r="AU35" s="8" t="n">
        <v>0.1</v>
      </c>
      <c r="AV35" s="8" t="n">
        <v>0.75</v>
      </c>
      <c r="AW35" s="17" t="n">
        <v>2.001537639592919</v>
      </c>
      <c r="AX35" s="18" t="inlineStr">
        <is>
          <t>-15cr</t>
        </is>
      </c>
      <c r="AY35" s="26" t="n">
        <v>1.124528156724475</v>
      </c>
      <c r="AZ35" s="26" t="n">
        <v>1.277701427086964</v>
      </c>
      <c r="BA35" s="26" t="n">
        <v>0.5303993136565541</v>
      </c>
      <c r="BB35" s="28" t="n">
        <v>3</v>
      </c>
      <c r="BC35" t="n">
        <v>0</v>
      </c>
      <c r="BD35" t="n">
        <v>1</v>
      </c>
      <c r="BE35" t="n">
        <v>1</v>
      </c>
      <c r="BF35" t="n">
        <v>0</v>
      </c>
      <c r="BG35" t="n">
        <v>0</v>
      </c>
      <c r="BH35" t="n">
        <v>1</v>
      </c>
    </row>
    <row r="36">
      <c r="A36" s="8" t="inlineStr">
        <is>
          <t>Quant ELSS Tax Saver Fund</t>
        </is>
      </c>
      <c r="B36" s="8" t="inlineStr">
        <is>
          <t>ELSS</t>
        </is>
      </c>
      <c r="C36" s="8" t="inlineStr">
        <is>
          <t>Nifty 500 TRI</t>
        </is>
      </c>
      <c r="D36" s="8" t="inlineStr">
        <is>
          <t>Very High</t>
        </is>
      </c>
      <c r="E36" s="8" t="inlineStr">
        <is>
          <t>Very High</t>
        </is>
      </c>
      <c r="F36" s="9" t="n">
        <v>46023</v>
      </c>
      <c r="G36" s="8" t="n">
        <v>380.1734</v>
      </c>
      <c r="H36" s="8" t="n">
        <v>427.3583</v>
      </c>
      <c r="I36" s="8" t="n">
        <v>8.372779</v>
      </c>
      <c r="J36" s="8" t="n">
        <v>0.9537506999999996</v>
      </c>
      <c r="K36" s="8" t="n">
        <v>7.4190283</v>
      </c>
      <c r="L36" s="8" t="n">
        <v>16.583794</v>
      </c>
      <c r="M36" s="8" t="n">
        <v>-0.1384349999999976</v>
      </c>
      <c r="N36" s="8" t="n">
        <v>16.722229</v>
      </c>
      <c r="O36" s="8" t="n">
        <v>24.03764</v>
      </c>
      <c r="P36" s="8" t="n">
        <v>7.248923000000001</v>
      </c>
      <c r="Q36" s="8" t="n">
        <v>16.788717</v>
      </c>
      <c r="R36" s="8" t="n">
        <v>21.189255</v>
      </c>
      <c r="S36" s="8" t="n">
        <v>6.456315999999999</v>
      </c>
      <c r="T36" s="8" t="n">
        <v>14.732939</v>
      </c>
      <c r="U36" s="8" t="n">
        <v>20.198679</v>
      </c>
      <c r="V36" s="8" t="n">
        <v>12399.85</v>
      </c>
      <c r="W36" s="8" t="n">
        <v>0.2011452339432317</v>
      </c>
      <c r="X36" s="8" t="n">
        <v>0.02505751443241914</v>
      </c>
      <c r="Y36" s="8" t="n">
        <v>0.6838593225806011</v>
      </c>
      <c r="Z36" s="8" t="n">
        <v>0.5538728558450118</v>
      </c>
      <c r="AA36" s="8" t="n">
        <v>0.04111323940485148</v>
      </c>
      <c r="AB36" s="8" t="n">
        <v>-0.1312976236428721</v>
      </c>
      <c r="AC36" s="8" t="n">
        <v>0.8399775276139557</v>
      </c>
      <c r="AD36" s="8" t="n">
        <v>0.6553683005049548</v>
      </c>
      <c r="AE36" s="8" t="n">
        <v>7.185301</v>
      </c>
      <c r="AF36" s="8" t="n">
        <v>19.869707</v>
      </c>
      <c r="AG36" s="8" t="n">
        <v>15.299072</v>
      </c>
      <c r="AH36" s="8" t="n">
        <v>22.2751</v>
      </c>
      <c r="AI36" s="8" t="n">
        <v>13.513046</v>
      </c>
      <c r="AJ36" s="8" t="n">
        <v>14.350524</v>
      </c>
      <c r="AK36" s="8" t="n">
        <v>15.160808</v>
      </c>
      <c r="AL36" s="8" t="inlineStr">
        <is>
          <t>Equity Scheme - ELSS</t>
        </is>
      </c>
      <c r="AM36" s="8" t="n">
        <v>1.59</v>
      </c>
      <c r="AN36" s="8" t="n">
        <v>0</v>
      </c>
      <c r="AO36" s="8" t="n">
        <v>0</v>
      </c>
      <c r="AP36" s="8" t="n">
        <v>0.11</v>
      </c>
      <c r="AQ36" s="8" t="n">
        <v>1.7</v>
      </c>
      <c r="AR36" s="8" t="n">
        <v>0.64</v>
      </c>
      <c r="AS36" s="8" t="n">
        <v>0</v>
      </c>
      <c r="AT36" s="8" t="n">
        <v>0</v>
      </c>
      <c r="AU36" s="8" t="n">
        <v>0.11</v>
      </c>
      <c r="AV36" s="8" t="n">
        <v>0.75</v>
      </c>
      <c r="AW36" s="17" t="n">
        <v>0.924366020556692</v>
      </c>
      <c r="AX36" s="18" t="inlineStr">
        <is>
          <t>-115cr</t>
        </is>
      </c>
      <c r="AY36" s="26" t="n">
        <v>1.298986113261761</v>
      </c>
      <c r="AZ36" s="26" t="n">
        <v>1.277701427086964</v>
      </c>
      <c r="BA36" s="26" t="n">
        <v>0.6415665690811302</v>
      </c>
      <c r="BB36" s="28" t="n">
        <v>4</v>
      </c>
      <c r="BC36" t="n">
        <v>1</v>
      </c>
      <c r="BD36" t="n">
        <v>1</v>
      </c>
      <c r="BE36" t="n">
        <v>1</v>
      </c>
      <c r="BF36" t="n">
        <v>1</v>
      </c>
      <c r="BG36" t="n">
        <v>0</v>
      </c>
      <c r="BH36" t="n">
        <v>0</v>
      </c>
    </row>
    <row r="37">
      <c r="A37" s="8" t="inlineStr">
        <is>
          <t>Quantum ELSS Tax Saver Fund</t>
        </is>
      </c>
      <c r="B37" s="8" t="inlineStr">
        <is>
          <t>ELSS</t>
        </is>
      </c>
      <c r="C37" s="8" t="inlineStr">
        <is>
          <t>BSE 500 TRI</t>
        </is>
      </c>
      <c r="D37" s="8" t="inlineStr">
        <is>
          <t>Very High</t>
        </is>
      </c>
      <c r="E37" s="8" t="inlineStr">
        <is>
          <t>Very High</t>
        </is>
      </c>
      <c r="F37" s="9" t="n">
        <v>46023</v>
      </c>
      <c r="G37" s="8" t="n">
        <v>127.42</v>
      </c>
      <c r="H37" s="8" t="n">
        <v>134.28</v>
      </c>
      <c r="I37" s="8" t="n">
        <v>5.210374</v>
      </c>
      <c r="J37" s="8" t="n">
        <v>-2.078651</v>
      </c>
      <c r="K37" s="8" t="n">
        <v>7.289025</v>
      </c>
      <c r="L37" s="8" t="n">
        <v>18.05573</v>
      </c>
      <c r="M37" s="8" t="n">
        <v>1.641667999999999</v>
      </c>
      <c r="N37" s="8" t="n">
        <v>16.414062</v>
      </c>
      <c r="O37" s="8" t="n">
        <v>17.161213</v>
      </c>
      <c r="P37" s="8" t="n">
        <v>0.4347759999999994</v>
      </c>
      <c r="Q37" s="8" t="n">
        <v>16.726437</v>
      </c>
      <c r="R37" s="8" t="n">
        <v>13.16637</v>
      </c>
      <c r="S37" s="8" t="n">
        <v>-1.622926999999999</v>
      </c>
      <c r="T37" s="8" t="n">
        <v>14.789297</v>
      </c>
      <c r="U37" s="8" t="n">
        <v>16.470217</v>
      </c>
      <c r="V37" s="8" t="n">
        <v>228.43</v>
      </c>
      <c r="W37" s="8" t="n">
        <v>-0.5492788183577296</v>
      </c>
      <c r="X37" s="8" t="n">
        <v>-0.8327500690625494</v>
      </c>
      <c r="Y37" s="8" t="n">
        <v>-0.3319298191023301</v>
      </c>
      <c r="Z37" s="8" t="n"/>
      <c r="AA37" s="8" t="n">
        <v>0.2849400063710527</v>
      </c>
      <c r="AB37" s="8" t="n">
        <v>0.04408808424584747</v>
      </c>
      <c r="AC37" s="8" t="n">
        <v>0.04649890277400757</v>
      </c>
      <c r="AD37" s="8" t="n">
        <v>-0.1421589072858686</v>
      </c>
      <c r="AE37" s="8" t="n">
        <v>4.007836</v>
      </c>
      <c r="AF37" s="8" t="n"/>
      <c r="AG37" s="8" t="n">
        <v>16.88017</v>
      </c>
      <c r="AH37" s="8" t="n">
        <v>16.235302</v>
      </c>
      <c r="AI37" s="8" t="n">
        <v>14.636112</v>
      </c>
      <c r="AJ37" s="8" t="n">
        <v>16.30994</v>
      </c>
      <c r="AK37" s="8" t="n">
        <v>11.791162</v>
      </c>
      <c r="AL37" s="8" t="inlineStr">
        <is>
          <t>Equity Scheme - ELSS</t>
        </is>
      </c>
      <c r="AM37" s="8" t="n">
        <v>1.99</v>
      </c>
      <c r="AN37" s="8" t="n">
        <v>0</v>
      </c>
      <c r="AO37" s="8" t="n">
        <v>0</v>
      </c>
      <c r="AP37" s="8" t="n">
        <v>0.1</v>
      </c>
      <c r="AQ37" s="8" t="n">
        <v>2.09</v>
      </c>
      <c r="AR37" s="8" t="n">
        <v>0.79</v>
      </c>
      <c r="AS37" s="8" t="n">
        <v>0</v>
      </c>
      <c r="AT37" s="8" t="n">
        <v>0</v>
      </c>
      <c r="AU37" s="8" t="n">
        <v>0.1</v>
      </c>
      <c r="AV37" s="8" t="n">
        <v>0.89</v>
      </c>
      <c r="AW37" s="17" t="n">
        <v>-0.7135665192838049</v>
      </c>
      <c r="AX37" t="inlineStr">
        <is>
          <t>2cr</t>
        </is>
      </c>
      <c r="AY37" s="26" t="n">
        <v>0.9146839182231852</v>
      </c>
      <c r="AZ37" s="26" t="n">
        <v>1.277701427086964</v>
      </c>
      <c r="BA37" s="26" t="n">
        <v>0.4371007186382812</v>
      </c>
      <c r="BB37" s="28" t="n">
        <v>2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1</v>
      </c>
    </row>
    <row r="38">
      <c r="A38" s="8" t="inlineStr">
        <is>
          <t>SBI ELSS Tax Saver Fund</t>
        </is>
      </c>
      <c r="B38" s="8" t="inlineStr">
        <is>
          <t>ELSS</t>
        </is>
      </c>
      <c r="C38" s="8" t="inlineStr">
        <is>
          <t>BSE 500 TRI</t>
        </is>
      </c>
      <c r="D38" s="8" t="inlineStr">
        <is>
          <t>Very High</t>
        </is>
      </c>
      <c r="E38" s="8" t="inlineStr">
        <is>
          <t>Very High</t>
        </is>
      </c>
      <c r="F38" s="9" t="n">
        <v>46023</v>
      </c>
      <c r="G38" s="8" t="n">
        <v>454.2645</v>
      </c>
      <c r="H38" s="8" t="n">
        <v>492.3266</v>
      </c>
      <c r="I38" s="8" t="n">
        <v>7.215942</v>
      </c>
      <c r="J38" s="8" t="n">
        <v>-0.07308299999999956</v>
      </c>
      <c r="K38" s="8" t="n">
        <v>7.289025</v>
      </c>
      <c r="L38" s="8" t="n">
        <v>24.774208</v>
      </c>
      <c r="M38" s="8" t="n">
        <v>8.360146</v>
      </c>
      <c r="N38" s="8" t="n">
        <v>16.414062</v>
      </c>
      <c r="O38" s="8" t="n">
        <v>22.355621</v>
      </c>
      <c r="P38" s="8" t="n">
        <v>5.629183999999999</v>
      </c>
      <c r="Q38" s="8" t="n">
        <v>16.726437</v>
      </c>
      <c r="R38" s="8" t="n">
        <v>15.862061</v>
      </c>
      <c r="S38" s="8" t="n">
        <v>1.072764000000001</v>
      </c>
      <c r="T38" s="8" t="n">
        <v>14.789297</v>
      </c>
      <c r="U38" s="8" t="n">
        <v>16.45824</v>
      </c>
      <c r="V38" s="8" t="n">
        <v>32615.94</v>
      </c>
      <c r="W38" s="8" t="n">
        <v>-0.08779605762702083</v>
      </c>
      <c r="X38" s="8" t="n">
        <v>-0.3148215240339634</v>
      </c>
      <c r="Y38" s="8" t="n">
        <v>0.2120864200032355</v>
      </c>
      <c r="Z38" s="8" t="n">
        <v>0.04261124734164572</v>
      </c>
      <c r="AA38" s="8" t="n">
        <v>2.025159423979136</v>
      </c>
      <c r="AB38" s="8" t="n">
        <v>1.825809827556273</v>
      </c>
      <c r="AC38" s="8" t="n">
        <v>1.284370971648922</v>
      </c>
      <c r="AD38" s="8" t="n">
        <v>1.102972762077096</v>
      </c>
      <c r="AE38" s="8" t="n">
        <v>6.539324</v>
      </c>
      <c r="AF38" s="8" t="n">
        <v>15.111403</v>
      </c>
      <c r="AG38" s="8" t="n">
        <v>23.938944</v>
      </c>
      <c r="AH38" s="8" t="n">
        <v>21.562086</v>
      </c>
      <c r="AI38" s="8" t="n"/>
      <c r="AJ38" s="8" t="n">
        <v>14.405049</v>
      </c>
      <c r="AK38" s="8" t="n">
        <v>12.347004</v>
      </c>
      <c r="AL38" s="8" t="inlineStr">
        <is>
          <t>Equity Scheme - ELSS</t>
        </is>
      </c>
      <c r="AM38" s="8" t="n">
        <v>1.44</v>
      </c>
      <c r="AN38" s="8" t="n">
        <v>0</v>
      </c>
      <c r="AO38" s="8" t="n">
        <v>0</v>
      </c>
      <c r="AP38" s="8" t="n">
        <v>0.13</v>
      </c>
      <c r="AQ38" s="8" t="n">
        <v>1.57</v>
      </c>
      <c r="AR38" s="8" t="n">
        <v>0.76</v>
      </c>
      <c r="AS38" s="8" t="n">
        <v>0</v>
      </c>
      <c r="AT38" s="8" t="n">
        <v>0</v>
      </c>
      <c r="AU38" s="8" t="n">
        <v>0.13</v>
      </c>
      <c r="AV38" s="8" t="n">
        <v>0.89</v>
      </c>
      <c r="AW38" s="17" t="n">
        <v>-0.9982542278407434</v>
      </c>
      <c r="AX38" t="inlineStr">
        <is>
          <t>326cr</t>
        </is>
      </c>
      <c r="AY38" s="26" t="n">
        <v>1.334763448763604</v>
      </c>
      <c r="AZ38" s="26" t="n">
        <v>1.277701427086964</v>
      </c>
      <c r="BA38" s="26" t="n">
        <v>0.4572899563539404</v>
      </c>
      <c r="BB38" s="28" t="n">
        <v>1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s="8" t="inlineStr">
        <is>
          <t>Shriram ELSS Tax Saver Fund</t>
        </is>
      </c>
      <c r="B39" s="8" t="inlineStr">
        <is>
          <t>ELSS</t>
        </is>
      </c>
      <c r="C39" s="8" t="inlineStr">
        <is>
          <t>Nifty 500 TRI</t>
        </is>
      </c>
      <c r="D39" s="8" t="inlineStr">
        <is>
          <t>Very High</t>
        </is>
      </c>
      <c r="E39" s="8" t="inlineStr">
        <is>
          <t>Very High</t>
        </is>
      </c>
      <c r="F39" s="9" t="n">
        <v>46023</v>
      </c>
      <c r="G39" s="8" t="n">
        <v>21.5885</v>
      </c>
      <c r="H39" s="8" t="n">
        <v>24.4201</v>
      </c>
      <c r="I39" s="8" t="n">
        <v>-4.1503286</v>
      </c>
      <c r="J39" s="8" t="n">
        <v>-11.5693569</v>
      </c>
      <c r="K39" s="8" t="n">
        <v>7.4190283</v>
      </c>
      <c r="L39" s="8" t="n">
        <v>13.008137</v>
      </c>
      <c r="M39" s="8" t="n">
        <v>-3.714091999999999</v>
      </c>
      <c r="N39" s="8" t="n">
        <v>16.722229</v>
      </c>
      <c r="O39" s="8" t="n">
        <v>12.612799</v>
      </c>
      <c r="P39" s="8" t="n">
        <v>-4.175917999999998</v>
      </c>
      <c r="Q39" s="8" t="n">
        <v>16.788717</v>
      </c>
      <c r="R39" s="8" t="n"/>
      <c r="S39" s="8" t="n"/>
      <c r="T39" s="8" t="n"/>
      <c r="U39" s="8" t="n">
        <v>13.729622</v>
      </c>
      <c r="V39" s="8" t="n">
        <v>49.49</v>
      </c>
      <c r="W39" s="8" t="n">
        <v>-2.211255928046898</v>
      </c>
      <c r="X39" s="8" t="n">
        <v>-2.524053163977527</v>
      </c>
      <c r="Y39" s="8" t="n"/>
      <c r="Z39" s="8" t="n"/>
      <c r="AA39" s="8" t="n">
        <v>-0.5706136981332358</v>
      </c>
      <c r="AB39" s="8" t="n">
        <v>-0.8829555554140741</v>
      </c>
      <c r="AC39" s="8" t="n">
        <v>-0.7737242819985958</v>
      </c>
      <c r="AD39" s="8" t="n">
        <v>-1.145431542416896</v>
      </c>
      <c r="AE39" s="8" t="n">
        <v>-5.6681685</v>
      </c>
      <c r="AF39" s="8" t="n"/>
      <c r="AG39" s="8" t="n">
        <v>11.159997</v>
      </c>
      <c r="AH39" s="8" t="n">
        <v>10.703498</v>
      </c>
      <c r="AI39" s="8" t="n">
        <v>16.349009</v>
      </c>
      <c r="AJ39" s="8" t="n">
        <v>16.349009</v>
      </c>
      <c r="AK39" s="8" t="n">
        <v>11.7276745</v>
      </c>
      <c r="AL39" s="8" t="inlineStr">
        <is>
          <t>Equity Scheme - ELSS</t>
        </is>
      </c>
      <c r="AM39" s="8" t="n">
        <v>2.25</v>
      </c>
      <c r="AN39" s="8" t="n">
        <v>0</v>
      </c>
      <c r="AO39" s="8" t="n">
        <v>0</v>
      </c>
      <c r="AP39" s="8" t="n">
        <v>0.076</v>
      </c>
      <c r="AQ39" s="8" t="n">
        <v>2.326</v>
      </c>
      <c r="AR39" s="8" t="n">
        <v>0.72</v>
      </c>
      <c r="AS39" s="8" t="n">
        <v>0</v>
      </c>
      <c r="AT39" s="8" t="n">
        <v>0</v>
      </c>
      <c r="AU39" s="8" t="n">
        <v>0.076</v>
      </c>
      <c r="AV39" s="8" t="n">
        <v>0.796</v>
      </c>
      <c r="AW39" s="17" t="n">
        <v>0.8890684986865988</v>
      </c>
      <c r="AX39" t="inlineStr">
        <is>
          <t>0cr</t>
        </is>
      </c>
      <c r="AY39" s="26" t="n">
        <v>1.396404604936193</v>
      </c>
      <c r="AZ39" s="26" t="n">
        <v>1.277701427086964</v>
      </c>
      <c r="BA39" s="26" t="n">
        <v>0.5006443328029251</v>
      </c>
      <c r="BB39" s="28" t="n">
        <v>2</v>
      </c>
      <c r="BC39" t="n">
        <v>0</v>
      </c>
      <c r="BD39" t="n">
        <v>1</v>
      </c>
      <c r="BE39" t="n">
        <v>1</v>
      </c>
      <c r="BF39" t="n">
        <v>0</v>
      </c>
      <c r="BG39" t="n">
        <v>0</v>
      </c>
      <c r="BH39" t="n">
        <v>0</v>
      </c>
    </row>
    <row r="40">
      <c r="A40" s="8" t="inlineStr">
        <is>
          <t>Sundaram ELSS Tax Saver Fund</t>
        </is>
      </c>
      <c r="B40" s="8" t="inlineStr">
        <is>
          <t>ELSS</t>
        </is>
      </c>
      <c r="C40" s="8" t="inlineStr">
        <is>
          <t>Nifty 500 TRI</t>
        </is>
      </c>
      <c r="D40" s="8" t="inlineStr">
        <is>
          <t>Very High</t>
        </is>
      </c>
      <c r="E40" s="8" t="inlineStr">
        <is>
          <t>Very High</t>
        </is>
      </c>
      <c r="F40" s="9" t="n">
        <v>46023</v>
      </c>
      <c r="G40" s="8" t="n">
        <v>529.0474</v>
      </c>
      <c r="H40" s="8" t="n">
        <v>566.9081</v>
      </c>
      <c r="I40" s="8" t="n">
        <v>7.7354426</v>
      </c>
      <c r="J40" s="8" t="n">
        <v>0.3164142999999999</v>
      </c>
      <c r="K40" s="8" t="n">
        <v>7.4190283</v>
      </c>
      <c r="L40" s="8" t="n">
        <v>16.415514</v>
      </c>
      <c r="M40" s="8" t="n">
        <v>-0.306714999999997</v>
      </c>
      <c r="N40" s="8" t="n">
        <v>16.722229</v>
      </c>
      <c r="O40" s="8" t="n">
        <v>17.011034</v>
      </c>
      <c r="P40" s="8" t="n">
        <v>0.2223170000000003</v>
      </c>
      <c r="Q40" s="8" t="n">
        <v>16.788717</v>
      </c>
      <c r="R40" s="8" t="n">
        <v>14.639359</v>
      </c>
      <c r="S40" s="8" t="n">
        <v>-0.09357999999999933</v>
      </c>
      <c r="T40" s="8" t="n">
        <v>14.732939</v>
      </c>
      <c r="U40" s="8" t="n">
        <v>15.569382</v>
      </c>
      <c r="V40" s="8" t="n">
        <v>1403.33</v>
      </c>
      <c r="W40" s="8" t="n">
        <v>0.02448252307740156</v>
      </c>
      <c r="X40" s="8" t="n">
        <v>-0.1399896676259824</v>
      </c>
      <c r="Y40" s="8" t="n">
        <v>-0.01795997692966346</v>
      </c>
      <c r="Z40" s="8" t="n">
        <v>-0.1723226675818013</v>
      </c>
      <c r="AA40" s="8" t="n">
        <v>-0.1469958025536062</v>
      </c>
      <c r="AB40" s="8" t="n">
        <v>-0.3327741387035532</v>
      </c>
      <c r="AC40" s="8" t="n">
        <v>0.02844006100655162</v>
      </c>
      <c r="AD40" s="8" t="n">
        <v>-0.1492026275905321</v>
      </c>
      <c r="AE40" s="8" t="n">
        <v>7.178145</v>
      </c>
      <c r="AF40" s="8" t="n">
        <v>14.023491</v>
      </c>
      <c r="AG40" s="8" t="n">
        <v>15.786183</v>
      </c>
      <c r="AH40" s="8" t="n">
        <v>16.36666</v>
      </c>
      <c r="AI40" s="8" t="n"/>
      <c r="AJ40" s="8" t="n">
        <v>14.357214</v>
      </c>
      <c r="AK40" s="8" t="n">
        <v>15.845634</v>
      </c>
      <c r="AL40" s="8" t="inlineStr">
        <is>
          <t>Equity Scheme - ELSS</t>
        </is>
      </c>
      <c r="AM40" s="8" t="n">
        <v>1.98</v>
      </c>
      <c r="AN40" s="8" t="n">
        <v>0</v>
      </c>
      <c r="AO40" s="8" t="n">
        <v>0</v>
      </c>
      <c r="AP40" s="8" t="n">
        <v>0.21</v>
      </c>
      <c r="AQ40" s="8" t="n">
        <v>2.19</v>
      </c>
      <c r="AR40" s="8" t="n">
        <v>1.32</v>
      </c>
      <c r="AS40" s="8" t="n">
        <v>0</v>
      </c>
      <c r="AT40" s="8" t="n">
        <v>0</v>
      </c>
      <c r="AU40" s="8" t="n">
        <v>0.21</v>
      </c>
      <c r="AV40" s="8" t="n">
        <v>1.53</v>
      </c>
      <c r="AW40" s="17" t="n">
        <v>0.3541576108256809</v>
      </c>
      <c r="AX40" s="18" t="inlineStr">
        <is>
          <t>-5cr</t>
        </is>
      </c>
      <c r="AY40" s="26" t="n">
        <v>1.21192540539597</v>
      </c>
      <c r="AZ40" s="26" t="n">
        <v>1.277701427086964</v>
      </c>
      <c r="BA40" s="26" t="n">
        <v>0.473434426501478</v>
      </c>
      <c r="BB40" s="28" t="n">
        <v>4</v>
      </c>
      <c r="BC40" t="n">
        <v>1</v>
      </c>
      <c r="BD40" t="n">
        <v>1</v>
      </c>
      <c r="BE40" t="n">
        <v>0</v>
      </c>
      <c r="BF40" t="n">
        <v>1</v>
      </c>
      <c r="BG40" t="n">
        <v>0</v>
      </c>
      <c r="BH40" t="n">
        <v>1</v>
      </c>
    </row>
    <row r="41">
      <c r="A41" s="8" t="inlineStr">
        <is>
          <t>Taurus ELSS Tax Saver Fund</t>
        </is>
      </c>
      <c r="B41" s="8" t="inlineStr">
        <is>
          <t>ELSS</t>
        </is>
      </c>
      <c r="C41" s="8" t="inlineStr">
        <is>
          <t>BSE 500 TRI</t>
        </is>
      </c>
      <c r="D41" s="8" t="inlineStr">
        <is>
          <t>Very High</t>
        </is>
      </c>
      <c r="E41" s="8" t="inlineStr">
        <is>
          <t>Very High</t>
        </is>
      </c>
      <c r="F41" s="9" t="n">
        <v>46023</v>
      </c>
      <c r="G41" s="8" t="n">
        <v>182.81</v>
      </c>
      <c r="H41" s="8" t="n">
        <v>199.84</v>
      </c>
      <c r="I41" s="8" t="n">
        <v>-0.7548669</v>
      </c>
      <c r="J41" s="8" t="n">
        <v>-8.0438919</v>
      </c>
      <c r="K41" s="8" t="n">
        <v>7.289025</v>
      </c>
      <c r="L41" s="8" t="n">
        <v>16.313179</v>
      </c>
      <c r="M41" s="8" t="n">
        <v>-0.1008829999999996</v>
      </c>
      <c r="N41" s="8" t="n">
        <v>16.414062</v>
      </c>
      <c r="O41" s="8" t="n">
        <v>15.281598</v>
      </c>
      <c r="P41" s="8" t="n">
        <v>-1.444839</v>
      </c>
      <c r="Q41" s="8" t="n">
        <v>16.726437</v>
      </c>
      <c r="R41" s="8" t="n">
        <v>13.915222</v>
      </c>
      <c r="S41" s="8" t="n">
        <v>-0.8740749999999995</v>
      </c>
      <c r="T41" s="8" t="n">
        <v>14.789297</v>
      </c>
      <c r="U41" s="8" t="n">
        <v>13.377991</v>
      </c>
      <c r="V41" s="8" t="n">
        <v>75.37</v>
      </c>
      <c r="W41" s="8" t="n">
        <v>-1.692655527531021</v>
      </c>
      <c r="X41" s="8" t="n">
        <v>-1.829494223682721</v>
      </c>
      <c r="Y41" s="8" t="n">
        <v>-0.2121991533093227</v>
      </c>
      <c r="Z41" s="8" t="n">
        <v>-0.3848553176326912</v>
      </c>
      <c r="AA41" s="8" t="n">
        <v>-0.02947799346138786</v>
      </c>
      <c r="AB41" s="8" t="n">
        <v>-0.1617001571324786</v>
      </c>
      <c r="AC41" s="8" t="n">
        <v>-0.2869098723559818</v>
      </c>
      <c r="AD41" s="8" t="n">
        <v>-0.4279588315780714</v>
      </c>
      <c r="AE41" s="8" t="n">
        <v>-1.3863416</v>
      </c>
      <c r="AF41" s="8" t="n">
        <v>13.109635</v>
      </c>
      <c r="AG41" s="8" t="n">
        <v>15.5765</v>
      </c>
      <c r="AH41" s="8" t="n">
        <v>14.533627</v>
      </c>
      <c r="AI41" s="8" t="n"/>
      <c r="AJ41" s="8" t="n">
        <v>14.405049</v>
      </c>
      <c r="AK41" s="8" t="n">
        <v>11.812146</v>
      </c>
      <c r="AL41" s="8" t="inlineStr">
        <is>
          <t>Equity Scheme - ELSS</t>
        </is>
      </c>
      <c r="AM41" s="8" t="n">
        <v>2.21</v>
      </c>
      <c r="AN41" s="8" t="n">
        <v>0</v>
      </c>
      <c r="AO41" s="8" t="n">
        <v>0</v>
      </c>
      <c r="AP41" s="8" t="n">
        <v>0.24</v>
      </c>
      <c r="AQ41" s="8" t="n">
        <v>2.45</v>
      </c>
      <c r="AR41" s="8" t="n">
        <v>1.45</v>
      </c>
      <c r="AS41" s="8" t="n">
        <v>0</v>
      </c>
      <c r="AT41" s="8" t="n">
        <v>0</v>
      </c>
      <c r="AU41" s="8" t="n">
        <v>0.24</v>
      </c>
      <c r="AV41" s="8" t="n">
        <v>1.69</v>
      </c>
      <c r="AW41" s="17" t="n">
        <v>2.812790234841436</v>
      </c>
      <c r="AX41" s="18" t="inlineStr">
        <is>
          <t>-2cr</t>
        </is>
      </c>
      <c r="AY41" s="26" t="n">
        <v>1.362193703964432</v>
      </c>
      <c r="AZ41" s="26" t="n">
        <v>1.277701427086964</v>
      </c>
      <c r="BA41" s="26" t="n">
        <v>0.5092924552955824</v>
      </c>
      <c r="BB41" s="28" t="n">
        <v>1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</row>
    <row r="42">
      <c r="A42" s="8" t="inlineStr">
        <is>
          <t>WhiteOak Capital ELSS Tax Saver Fund</t>
        </is>
      </c>
      <c r="B42" s="8" t="inlineStr">
        <is>
          <t>ELSS</t>
        </is>
      </c>
      <c r="C42" s="8" t="inlineStr">
        <is>
          <t>BSE 500 TRI</t>
        </is>
      </c>
      <c r="D42" s="8" t="inlineStr">
        <is>
          <t>Very High</t>
        </is>
      </c>
      <c r="E42" s="8" t="inlineStr">
        <is>
          <t>Very High</t>
        </is>
      </c>
      <c r="F42" s="9" t="n">
        <v>46023</v>
      </c>
      <c r="G42" s="8" t="n">
        <v>17.768</v>
      </c>
      <c r="H42" s="8" t="n">
        <v>18.773</v>
      </c>
      <c r="I42" s="8" t="n">
        <v>4.2944446</v>
      </c>
      <c r="J42" s="8" t="n">
        <v>-2.994580399999999</v>
      </c>
      <c r="K42" s="8" t="n">
        <v>7.289025</v>
      </c>
      <c r="L42" s="8" t="n">
        <v>22.573275</v>
      </c>
      <c r="M42" s="8" t="n">
        <v>6.159212999999998</v>
      </c>
      <c r="N42" s="8" t="n">
        <v>16.414062</v>
      </c>
      <c r="O42" s="8" t="n"/>
      <c r="P42" s="8" t="n"/>
      <c r="Q42" s="8" t="n"/>
      <c r="R42" s="8" t="n"/>
      <c r="S42" s="8" t="n"/>
      <c r="T42" s="8" t="n"/>
      <c r="U42" s="8" t="n">
        <v>21.61021</v>
      </c>
      <c r="V42" s="8" t="n">
        <v>449.26</v>
      </c>
      <c r="W42" s="8" t="n">
        <v>-0.7772852047251635</v>
      </c>
      <c r="X42" s="8" t="n">
        <v>-1.243703406337109</v>
      </c>
      <c r="Y42" s="8" t="n"/>
      <c r="Z42" s="8" t="n"/>
      <c r="AA42" s="8" t="n">
        <v>1.416671610548544</v>
      </c>
      <c r="AB42" s="8" t="n">
        <v>0.9497807817365285</v>
      </c>
      <c r="AC42" s="8" t="n"/>
      <c r="AD42" s="8" t="n"/>
      <c r="AE42" s="8" t="n">
        <v>2.5806825</v>
      </c>
      <c r="AF42" s="8" t="n"/>
      <c r="AG42" s="8" t="n">
        <v>20.517342</v>
      </c>
      <c r="AH42" s="8" t="n"/>
      <c r="AI42" s="8" t="n">
        <v>16.812065</v>
      </c>
      <c r="AJ42" s="8" t="n">
        <v>16.812065</v>
      </c>
      <c r="AK42" s="8" t="n">
        <v>19.54937</v>
      </c>
      <c r="AL42" s="8" t="inlineStr">
        <is>
          <t>Equity Scheme - ELSS</t>
        </is>
      </c>
      <c r="AM42" s="8" t="n">
        <v>2.25</v>
      </c>
      <c r="AN42" s="8" t="n">
        <v>0</v>
      </c>
      <c r="AO42" s="8" t="n">
        <v>0</v>
      </c>
      <c r="AP42" s="8" t="n">
        <v>0.08</v>
      </c>
      <c r="AQ42" s="8" t="n">
        <v>2.33</v>
      </c>
      <c r="AR42" s="8" t="n">
        <v>0.59</v>
      </c>
      <c r="AS42" s="8" t="n">
        <v>0</v>
      </c>
      <c r="AT42" s="8" t="n">
        <v>0</v>
      </c>
      <c r="AU42" s="8" t="n">
        <v>0.08</v>
      </c>
      <c r="AV42" s="8" t="n">
        <v>0.67</v>
      </c>
      <c r="AW42" s="17" t="n">
        <v>0.4095623914882321</v>
      </c>
      <c r="AX42" s="18" t="inlineStr">
        <is>
          <t>-2cr</t>
        </is>
      </c>
      <c r="AY42" s="26" t="n">
        <v>1.44529417602368</v>
      </c>
      <c r="AZ42" s="26" t="n">
        <v>1.277701427086964</v>
      </c>
      <c r="BA42" s="26" t="n">
        <v>0.5063082906850231</v>
      </c>
      <c r="BB42" s="28" t="n">
        <v>3</v>
      </c>
      <c r="BC42" t="n">
        <v>1</v>
      </c>
      <c r="BD42" t="n">
        <v>1</v>
      </c>
      <c r="BE42" t="n">
        <v>1</v>
      </c>
      <c r="BF42" t="n">
        <v>0</v>
      </c>
      <c r="BG42" t="n">
        <v>0</v>
      </c>
      <c r="BH42" t="n">
        <v>0</v>
      </c>
    </row>
    <row r="43">
      <c r="A43" s="15" t="inlineStr">
        <is>
          <t>category_avg_elss</t>
        </is>
      </c>
      <c r="B43" s="15" t="n"/>
      <c r="C43" s="15" t="n"/>
      <c r="D43" s="15" t="n"/>
      <c r="E43" s="15" t="n"/>
      <c r="F43" s="16" t="n"/>
      <c r="G43" s="15" t="n"/>
      <c r="H43" s="15" t="n"/>
      <c r="I43" s="27" t="n">
        <v>4.090292513870968</v>
      </c>
      <c r="K43" s="27" t="n">
        <v>7.469349493548386</v>
      </c>
      <c r="L43" s="27" t="n">
        <v>18.31824033333334</v>
      </c>
      <c r="N43" s="27" t="n">
        <v>16.59062243333333</v>
      </c>
      <c r="O43" s="27" t="n">
        <v>17.67449468965517</v>
      </c>
      <c r="Q43" s="27" t="n">
        <v>16.7304644137931</v>
      </c>
      <c r="R43" s="27" t="n">
        <v>15.13507939583334</v>
      </c>
      <c r="T43" s="27" t="n">
        <v>14.73572329166667</v>
      </c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>
        <f>AVERAGE(AA11:AA42)</f>
        <v/>
      </c>
      <c r="AF43" s="15">
        <f>AVERAGE(AB11:AB42)</f>
        <v/>
      </c>
      <c r="AG43" s="15">
        <f>AVERAGE(AC11:AC42)</f>
        <v/>
      </c>
      <c r="AH43" s="15">
        <f>AVERAGE(AD11:AD42)</f>
        <v/>
      </c>
      <c r="AI43" s="15">
        <f>AVERAGE(AE11:AE42)</f>
        <v/>
      </c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25" t="n">
        <v>0.857375</v>
      </c>
      <c r="AZ43" s="26" t="n">
        <v>1.277701108489105</v>
      </c>
    </row>
    <row r="44">
      <c r="A44" s="2" t="inlineStr">
        <is>
          <t>Aditya Birla Sun Life Flexi Cap Fund</t>
        </is>
      </c>
      <c r="B44" s="2" t="inlineStr">
        <is>
          <t>flexi cap</t>
        </is>
      </c>
      <c r="C44" s="2" t="inlineStr">
        <is>
          <t>Nifty 500 TRI</t>
        </is>
      </c>
      <c r="D44" s="2" t="inlineStr">
        <is>
          <t>Very High</t>
        </is>
      </c>
      <c r="E44" s="2" t="inlineStr">
        <is>
          <t>Very High</t>
        </is>
      </c>
      <c r="F44" s="10" t="n">
        <v>46023</v>
      </c>
      <c r="G44" s="2" t="n">
        <v>1895.79</v>
      </c>
      <c r="H44" s="2" t="n">
        <v>2126.36</v>
      </c>
      <c r="I44" s="2" t="n">
        <v>11.88012</v>
      </c>
      <c r="J44" s="2" t="n">
        <v>4.4610917</v>
      </c>
      <c r="K44" s="2" t="n">
        <v>7.4190283</v>
      </c>
      <c r="L44" s="2" t="n">
        <v>19.361757</v>
      </c>
      <c r="M44" s="2" t="n">
        <v>2.639528000000002</v>
      </c>
      <c r="N44" s="2" t="n">
        <v>16.722229</v>
      </c>
      <c r="O44" s="2" t="n">
        <v>17.311983</v>
      </c>
      <c r="P44" s="2" t="n">
        <v>0.5232660000000031</v>
      </c>
      <c r="Q44" s="2" t="n">
        <v>16.788717</v>
      </c>
      <c r="R44" s="2" t="n">
        <v>15.81631</v>
      </c>
      <c r="S44" s="2" t="n">
        <v>1.083371</v>
      </c>
      <c r="T44" s="2" t="n">
        <v>14.732939</v>
      </c>
      <c r="U44" s="2" t="n">
        <v>16.851068</v>
      </c>
      <c r="V44" s="2" t="n">
        <v>25133.29</v>
      </c>
      <c r="W44" s="2" t="n">
        <v>1.588776329643015</v>
      </c>
      <c r="X44" s="2" t="n">
        <v>1.271839774543576</v>
      </c>
      <c r="Y44" s="2" t="n">
        <v>0.2780437356324342</v>
      </c>
      <c r="Z44" s="2" t="n">
        <v>0.01227828842537134</v>
      </c>
      <c r="AA44" s="2" t="n">
        <v>0.7793093410265411</v>
      </c>
      <c r="AB44" s="2" t="n">
        <v>0.4858602465461141</v>
      </c>
      <c r="AC44" s="2" t="n">
        <v>0.1221660662242765</v>
      </c>
      <c r="AD44" s="2" t="n">
        <v>-0.14636830667152</v>
      </c>
      <c r="AE44" s="2" t="n">
        <v>10.99928</v>
      </c>
      <c r="AF44" s="2" t="n">
        <v>14.772051</v>
      </c>
      <c r="AG44" s="2" t="n">
        <v>18.403347</v>
      </c>
      <c r="AH44" s="2" t="n">
        <v>16.352537</v>
      </c>
      <c r="AI44" s="2" t="n"/>
      <c r="AJ44" s="2" t="n">
        <v>14.357214</v>
      </c>
      <c r="AK44" s="2" t="n">
        <v>21.124193</v>
      </c>
      <c r="AL44" s="2" t="inlineStr">
        <is>
          <t>Equity Scheme - Flexi Cap Fund</t>
        </is>
      </c>
      <c r="AM44" s="2" t="n">
        <v>1.48</v>
      </c>
      <c r="AN44" s="2" t="n">
        <v>0</v>
      </c>
      <c r="AO44" s="2" t="n">
        <v>0.05</v>
      </c>
      <c r="AP44" s="2" t="n">
        <v>0.12</v>
      </c>
      <c r="AQ44" s="2" t="n">
        <v>1.65</v>
      </c>
      <c r="AR44" s="2" t="n">
        <v>0.6899999999999999</v>
      </c>
      <c r="AS44" s="2" t="n">
        <v>0</v>
      </c>
      <c r="AT44" s="2" t="n">
        <v>0.05</v>
      </c>
      <c r="AU44" s="2" t="n">
        <v>0.12</v>
      </c>
      <c r="AV44" s="2" t="n">
        <v>0.86</v>
      </c>
      <c r="AW44" s="17" t="n">
        <v>-1.146208872773925</v>
      </c>
      <c r="AX44" t="inlineStr">
        <is>
          <t>288cr</t>
        </is>
      </c>
      <c r="AY44" s="26" t="n">
        <v>1.772417027585148</v>
      </c>
      <c r="AZ44" s="26" t="n">
        <v>1.187066464526627</v>
      </c>
      <c r="BA44" s="26" t="n">
        <v>0.5041482946704314</v>
      </c>
      <c r="BB44" s="28" t="n">
        <v>3</v>
      </c>
      <c r="BC44" t="n">
        <v>1</v>
      </c>
      <c r="BD44" t="n">
        <v>0</v>
      </c>
      <c r="BE44" t="n">
        <v>0</v>
      </c>
      <c r="BF44" t="n">
        <v>1</v>
      </c>
      <c r="BG44" t="n">
        <v>1</v>
      </c>
      <c r="BH44" t="n">
        <v>0</v>
      </c>
    </row>
    <row r="45">
      <c r="A45" s="2" t="inlineStr">
        <is>
          <t>Axis Flexi Cap Fund</t>
        </is>
      </c>
      <c r="B45" s="2" t="inlineStr">
        <is>
          <t>flexi cap</t>
        </is>
      </c>
      <c r="C45" s="2" t="inlineStr">
        <is>
          <t>Nifty 500 TRI</t>
        </is>
      </c>
      <c r="D45" s="2" t="inlineStr">
        <is>
          <t>Very High</t>
        </is>
      </c>
      <c r="E45" s="2" t="inlineStr">
        <is>
          <t>Very High</t>
        </is>
      </c>
      <c r="F45" s="10" t="n">
        <v>46023</v>
      </c>
      <c r="G45" s="2" t="n">
        <v>26.63</v>
      </c>
      <c r="H45" s="2" t="n">
        <v>29.54</v>
      </c>
      <c r="I45" s="2" t="n">
        <v>2.2499135</v>
      </c>
      <c r="J45" s="2" t="n">
        <v>-5.1691148</v>
      </c>
      <c r="K45" s="2" t="n">
        <v>7.4190283</v>
      </c>
      <c r="L45" s="2" t="n">
        <v>15.458284</v>
      </c>
      <c r="M45" s="2" t="n">
        <v>-1.263944999999998</v>
      </c>
      <c r="N45" s="2" t="n">
        <v>16.722229</v>
      </c>
      <c r="O45" s="2" t="n">
        <v>13.010941</v>
      </c>
      <c r="P45" s="2" t="n">
        <v>-3.777775999999998</v>
      </c>
      <c r="Q45" s="2" t="n">
        <v>16.788717</v>
      </c>
      <c r="R45" s="2" t="n"/>
      <c r="S45" s="2" t="n"/>
      <c r="T45" s="2" t="n"/>
      <c r="U45" s="2" t="n">
        <v>14.275511</v>
      </c>
      <c r="V45" s="2" t="n">
        <v>13022.51</v>
      </c>
      <c r="W45" s="2" t="n">
        <v>-1.238960154105438</v>
      </c>
      <c r="X45" s="2" t="n">
        <v>-1.519243076545998</v>
      </c>
      <c r="Y45" s="2" t="n"/>
      <c r="Z45" s="2" t="n"/>
      <c r="AA45" s="2" t="n">
        <v>-0.2819123534163355</v>
      </c>
      <c r="AB45" s="2" t="n">
        <v>-0.5363999039219042</v>
      </c>
      <c r="AC45" s="2" t="n">
        <v>-0.7783996040311016</v>
      </c>
      <c r="AD45" s="2" t="n">
        <v>-1.038603769038906</v>
      </c>
      <c r="AE45" s="2" t="n">
        <v>1.2162676</v>
      </c>
      <c r="AF45" s="2" t="n"/>
      <c r="AG45" s="2" t="n">
        <v>14.2866745</v>
      </c>
      <c r="AH45" s="2" t="n">
        <v>11.772983</v>
      </c>
      <c r="AI45" s="2" t="n">
        <v>13.631907</v>
      </c>
      <c r="AJ45" s="2" t="n">
        <v>13.631907</v>
      </c>
      <c r="AK45" s="2" t="n">
        <v>12.82344</v>
      </c>
      <c r="AL45" s="2" t="inlineStr">
        <is>
          <t>Equity Scheme - Flexi Cap Fund</t>
        </is>
      </c>
      <c r="AM45" s="2" t="n">
        <v>1.58</v>
      </c>
      <c r="AN45" s="2" t="n">
        <v>0</v>
      </c>
      <c r="AO45" s="2" t="n">
        <v>0.05</v>
      </c>
      <c r="AP45" s="2" t="n">
        <v>0.1</v>
      </c>
      <c r="AQ45" s="2" t="n">
        <v>1.73</v>
      </c>
      <c r="AR45" s="2" t="n">
        <v>0.58</v>
      </c>
      <c r="AS45" s="2" t="n">
        <v>0</v>
      </c>
      <c r="AT45" s="2" t="n">
        <v>0.05</v>
      </c>
      <c r="AU45" s="2" t="n">
        <v>0.1</v>
      </c>
      <c r="AV45" s="2" t="n">
        <v>0.73</v>
      </c>
      <c r="AW45" s="17" t="n">
        <v>1.958685384000471</v>
      </c>
      <c r="AX45" s="18" t="inlineStr">
        <is>
          <t>-255cr</t>
        </is>
      </c>
      <c r="AY45" s="26" t="n">
        <v>1.170871696473216</v>
      </c>
      <c r="AZ45" s="26" t="n">
        <v>1.187066464526627</v>
      </c>
      <c r="BA45" s="26" t="n">
        <v>0.5456845982150618</v>
      </c>
      <c r="BB45" s="28" t="n">
        <v>3</v>
      </c>
      <c r="BC45" t="n">
        <v>0</v>
      </c>
      <c r="BD45" t="n">
        <v>1</v>
      </c>
      <c r="BE45" t="n">
        <v>1</v>
      </c>
      <c r="BF45" t="n">
        <v>0</v>
      </c>
      <c r="BG45" t="n">
        <v>0</v>
      </c>
      <c r="BH45" t="n">
        <v>1</v>
      </c>
    </row>
    <row r="46">
      <c r="A46" s="2" t="inlineStr">
        <is>
          <t>Bajaj Finserv Flexi Cap Fund</t>
        </is>
      </c>
      <c r="B46" s="2" t="inlineStr">
        <is>
          <t>flexi cap</t>
        </is>
      </c>
      <c r="C46" s="2" t="inlineStr">
        <is>
          <t>BSE 500 TRI</t>
        </is>
      </c>
      <c r="D46" s="2" t="inlineStr">
        <is>
          <t>Very High</t>
        </is>
      </c>
      <c r="E46" s="2" t="inlineStr">
        <is>
          <t>Very High</t>
        </is>
      </c>
      <c r="F46" s="10" t="n">
        <v>46023</v>
      </c>
      <c r="G46" s="2" t="n">
        <v>14.975</v>
      </c>
      <c r="H46" s="2" t="n">
        <v>15.489</v>
      </c>
      <c r="I46" s="2" t="n">
        <v>7.5625</v>
      </c>
      <c r="J46" s="2" t="n">
        <v>0.2734750000000004</v>
      </c>
      <c r="K46" s="2" t="n">
        <v>7.289025</v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>
        <v>20.124315</v>
      </c>
      <c r="V46" s="2" t="n">
        <v>6361.44</v>
      </c>
      <c r="W46" s="2" t="n">
        <v>0.0354191114503422</v>
      </c>
      <c r="X46" s="2" t="n">
        <v>-0.3256908547587845</v>
      </c>
      <c r="Y46" s="2" t="n"/>
      <c r="Z46" s="2" t="n"/>
      <c r="AA46" s="2" t="n"/>
      <c r="AB46" s="2" t="n"/>
      <c r="AC46" s="2" t="n"/>
      <c r="AD46" s="2" t="n"/>
      <c r="AE46" s="2" t="n">
        <v>6.137926</v>
      </c>
      <c r="AF46" s="2" t="n"/>
      <c r="AG46" s="2" t="n"/>
      <c r="AH46" s="2" t="n"/>
      <c r="AI46" s="2" t="n">
        <v>16.548796</v>
      </c>
      <c r="AJ46" s="2" t="n">
        <v>16.548796</v>
      </c>
      <c r="AK46" s="2" t="n">
        <v>18.43743</v>
      </c>
      <c r="AL46" s="2" t="inlineStr">
        <is>
          <t>Equity Scheme - Flexi Cap Fund</t>
        </is>
      </c>
      <c r="AM46" s="2" t="n">
        <v>1.68</v>
      </c>
      <c r="AN46" s="2" t="n">
        <v>0</v>
      </c>
      <c r="AO46" s="2" t="n">
        <v>0.05</v>
      </c>
      <c r="AP46" s="2" t="n">
        <v>0.05</v>
      </c>
      <c r="AQ46" s="2" t="n">
        <v>1.78</v>
      </c>
      <c r="AR46" s="2" t="n">
        <v>0.41</v>
      </c>
      <c r="AS46" s="2" t="n">
        <v>0</v>
      </c>
      <c r="AT46" s="2" t="n">
        <v>0.05</v>
      </c>
      <c r="AU46" s="2" t="n">
        <v>0.05</v>
      </c>
      <c r="AV46" s="2" t="n">
        <v>0.51</v>
      </c>
      <c r="AW46" s="17" t="n">
        <v>-1.447785407077634</v>
      </c>
      <c r="AX46" t="inlineStr">
        <is>
          <t>92cr</t>
        </is>
      </c>
      <c r="AY46" s="26" t="n">
        <v>1.285920719384035</v>
      </c>
      <c r="AZ46" s="26" t="n">
        <v>1.187066464526627</v>
      </c>
      <c r="BA46" s="26" t="n">
        <v>0.5278516881811</v>
      </c>
      <c r="BB46" s="28" t="n">
        <v>3</v>
      </c>
      <c r="BC46" t="n">
        <v>1</v>
      </c>
      <c r="BD46" t="n">
        <v>0</v>
      </c>
      <c r="BE46" t="n">
        <v>1</v>
      </c>
      <c r="BF46" t="n">
        <v>1</v>
      </c>
      <c r="BG46" t="n">
        <v>0</v>
      </c>
      <c r="BH46" t="n">
        <v>0</v>
      </c>
    </row>
    <row r="47">
      <c r="A47" s="2" t="inlineStr">
        <is>
          <t>Bandhan Flexi Cap Fund</t>
        </is>
      </c>
      <c r="B47" s="2" t="inlineStr">
        <is>
          <t>flexi cap</t>
        </is>
      </c>
      <c r="C47" s="2" t="inlineStr">
        <is>
          <t>BSE 500 TRI</t>
        </is>
      </c>
      <c r="D47" s="2" t="inlineStr">
        <is>
          <t>Very High</t>
        </is>
      </c>
      <c r="E47" s="2" t="inlineStr">
        <is>
          <t>Very High</t>
        </is>
      </c>
      <c r="F47" s="10" t="n">
        <v>46023</v>
      </c>
      <c r="G47" s="2" t="n">
        <v>215.996</v>
      </c>
      <c r="H47" s="2" t="n">
        <v>236.929</v>
      </c>
      <c r="I47" s="2" t="n">
        <v>9.839364</v>
      </c>
      <c r="J47" s="2" t="n">
        <v>2.550339</v>
      </c>
      <c r="K47" s="2" t="n">
        <v>7.289025</v>
      </c>
      <c r="L47" s="2" t="n">
        <v>16.915806</v>
      </c>
      <c r="M47" s="2" t="n">
        <v>0.5017439999999986</v>
      </c>
      <c r="N47" s="2" t="n">
        <v>16.414062</v>
      </c>
      <c r="O47" s="2" t="n">
        <v>16.125664</v>
      </c>
      <c r="P47" s="2" t="n">
        <v>-0.6007730000000002</v>
      </c>
      <c r="Q47" s="2" t="n">
        <v>16.726437</v>
      </c>
      <c r="R47" s="2" t="n">
        <v>12.208776</v>
      </c>
      <c r="S47" s="2" t="n">
        <v>-2.580520999999999</v>
      </c>
      <c r="T47" s="2" t="n">
        <v>14.789297</v>
      </c>
      <c r="U47" s="2" t="n">
        <v>14.521732</v>
      </c>
      <c r="V47" s="2" t="n">
        <v>7722.75</v>
      </c>
      <c r="W47" s="2" t="n">
        <v>0.6470251949529808</v>
      </c>
      <c r="X47" s="2" t="n">
        <v>0.4316483894436839</v>
      </c>
      <c r="Y47" s="2" t="n">
        <v>-0.5244543892526654</v>
      </c>
      <c r="Z47" s="2" t="n">
        <v>-0.6782710079502763</v>
      </c>
      <c r="AA47" s="2" t="n">
        <v>0.09460832303173752</v>
      </c>
      <c r="AB47" s="2" t="n">
        <v>-0.1358699010967793</v>
      </c>
      <c r="AC47" s="2" t="n">
        <v>-0.1818540632845238</v>
      </c>
      <c r="AD47" s="2" t="n">
        <v>-0.3816928179671475</v>
      </c>
      <c r="AE47" s="2" t="n">
        <v>9.056393</v>
      </c>
      <c r="AF47" s="2" t="n">
        <v>11.406916</v>
      </c>
      <c r="AG47" s="2" t="n">
        <v>16.082085</v>
      </c>
      <c r="AH47" s="2" t="n">
        <v>15.299354</v>
      </c>
      <c r="AI47" s="2" t="n"/>
      <c r="AJ47" s="2" t="n">
        <v>14.405049</v>
      </c>
      <c r="AK47" s="2" t="n">
        <v>16.364534</v>
      </c>
      <c r="AL47" s="2" t="inlineStr">
        <is>
          <t>Equity Scheme - Flexi Cap Fund</t>
        </is>
      </c>
      <c r="AM47" s="2" t="n">
        <v>1.65</v>
      </c>
      <c r="AN47" s="2" t="n">
        <v>0</v>
      </c>
      <c r="AO47" s="2" t="n">
        <v>0.05</v>
      </c>
      <c r="AP47" s="2" t="n">
        <v>0.16</v>
      </c>
      <c r="AQ47" s="2" t="n">
        <v>1.86</v>
      </c>
      <c r="AR47" s="2" t="n">
        <v>0.92</v>
      </c>
      <c r="AS47" s="2" t="n">
        <v>0</v>
      </c>
      <c r="AT47" s="2" t="n">
        <v>0.05</v>
      </c>
      <c r="AU47" s="2" t="n">
        <v>0.16</v>
      </c>
      <c r="AV47" s="2" t="n">
        <v>1.13</v>
      </c>
      <c r="AW47" s="17" t="n">
        <v>0.3726651775598038</v>
      </c>
      <c r="AX47" s="18" t="inlineStr">
        <is>
          <t>-29cr</t>
        </is>
      </c>
      <c r="AY47" s="26" t="n">
        <v>1.274576104948682</v>
      </c>
      <c r="AZ47" s="26" t="n">
        <v>1.187066464526627</v>
      </c>
      <c r="BA47" s="26" t="n">
        <v>0.4854934768370593</v>
      </c>
      <c r="BB47" s="28" t="n">
        <v>3</v>
      </c>
      <c r="BC47" t="n">
        <v>1</v>
      </c>
      <c r="BD47" t="n">
        <v>1</v>
      </c>
      <c r="BE47" t="n">
        <v>0</v>
      </c>
      <c r="BF47" t="n">
        <v>1</v>
      </c>
      <c r="BG47" t="n">
        <v>0</v>
      </c>
      <c r="BH47" t="n">
        <v>0</v>
      </c>
    </row>
    <row r="48">
      <c r="A48" s="2" t="inlineStr">
        <is>
          <t>Bank of India Flexi Cap Fund</t>
        </is>
      </c>
      <c r="B48" s="2" t="inlineStr">
        <is>
          <t>flexi cap</t>
        </is>
      </c>
      <c r="C48" s="2" t="inlineStr">
        <is>
          <t>BSE 500 TRI</t>
        </is>
      </c>
      <c r="D48" s="2" t="inlineStr">
        <is>
          <t>Very High</t>
        </is>
      </c>
      <c r="E48" s="2" t="inlineStr">
        <is>
          <t>Very High</t>
        </is>
      </c>
      <c r="F48" s="10" t="n">
        <v>46023</v>
      </c>
      <c r="G48" s="2" t="n">
        <v>35.33</v>
      </c>
      <c r="H48" s="2" t="n">
        <v>38.51</v>
      </c>
      <c r="I48" s="2" t="n">
        <v>0.3387181</v>
      </c>
      <c r="J48" s="2" t="n">
        <v>-6.950306899999999</v>
      </c>
      <c r="K48" s="2" t="n">
        <v>7.289025</v>
      </c>
      <c r="L48" s="2" t="n">
        <v>22.68393</v>
      </c>
      <c r="M48" s="2" t="n">
        <v>6.269867999999999</v>
      </c>
      <c r="N48" s="2" t="n">
        <v>16.414062</v>
      </c>
      <c r="O48" s="2" t="n">
        <v>22.45177</v>
      </c>
      <c r="P48" s="2" t="n">
        <v>5.725332999999999</v>
      </c>
      <c r="Q48" s="2" t="n">
        <v>16.726437</v>
      </c>
      <c r="R48" s="2" t="n"/>
      <c r="S48" s="2" t="n"/>
      <c r="T48" s="2" t="n"/>
      <c r="U48" s="2" t="n">
        <v>27.711435</v>
      </c>
      <c r="V48" s="2" t="n">
        <v>2242.88</v>
      </c>
      <c r="W48" s="2" t="n">
        <v>-0.776950294840403</v>
      </c>
      <c r="X48" s="2" t="n">
        <v>-0.9695403107000902</v>
      </c>
      <c r="Y48" s="2" t="n"/>
      <c r="Z48" s="2" t="n"/>
      <c r="AA48" s="2" t="n">
        <v>0.8447385965216666</v>
      </c>
      <c r="AB48" s="2" t="n">
        <v>0.640115919880767</v>
      </c>
      <c r="AC48" s="2" t="n">
        <v>0.7869884059675892</v>
      </c>
      <c r="AD48" s="2" t="n">
        <v>0.5557578056396313</v>
      </c>
      <c r="AE48" s="2" t="n">
        <v>-1.1195074</v>
      </c>
      <c r="AF48" s="2" t="n"/>
      <c r="AG48" s="2" t="n">
        <v>20.96294</v>
      </c>
      <c r="AH48" s="2" t="n">
        <v>20.602673</v>
      </c>
      <c r="AI48" s="2" t="n">
        <v>21.918798</v>
      </c>
      <c r="AJ48" s="2" t="n">
        <v>21.918798</v>
      </c>
      <c r="AK48" s="2" t="n">
        <v>25.730192</v>
      </c>
      <c r="AL48" s="2" t="inlineStr">
        <is>
          <t>Equity Scheme - Flexi Cap Fund</t>
        </is>
      </c>
      <c r="AM48" s="2" t="n">
        <v>1.87</v>
      </c>
      <c r="AN48" s="2" t="n">
        <v>0</v>
      </c>
      <c r="AO48" s="2" t="n">
        <v>0.05</v>
      </c>
      <c r="AP48" s="2" t="n">
        <v>0.06</v>
      </c>
      <c r="AQ48" s="2" t="n">
        <v>1.98</v>
      </c>
      <c r="AR48" s="2" t="n">
        <v>0.48</v>
      </c>
      <c r="AS48" s="2" t="n">
        <v>0</v>
      </c>
      <c r="AT48" s="2" t="n">
        <v>0.05</v>
      </c>
      <c r="AU48" s="2" t="n">
        <v>0.07000000000000001</v>
      </c>
      <c r="AV48" s="2" t="n">
        <v>0.6</v>
      </c>
      <c r="AW48" s="17" t="n">
        <v>0.4039449279497764</v>
      </c>
      <c r="AX48" s="18" t="inlineStr">
        <is>
          <t>-9cr</t>
        </is>
      </c>
      <c r="AY48" s="26" t="n">
        <v>1.314594596000364</v>
      </c>
      <c r="AZ48" s="26" t="n">
        <v>1.187066464526627</v>
      </c>
      <c r="BA48" s="26" t="n">
        <v>0.6002990200222513</v>
      </c>
      <c r="BB48" s="28" t="n">
        <v>2</v>
      </c>
      <c r="BC48" t="n">
        <v>0</v>
      </c>
      <c r="BD48" t="n">
        <v>1</v>
      </c>
      <c r="BE48" t="n">
        <v>1</v>
      </c>
      <c r="BF48" t="n">
        <v>0</v>
      </c>
      <c r="BG48" t="n">
        <v>0</v>
      </c>
      <c r="BH48" t="n">
        <v>0</v>
      </c>
    </row>
    <row r="49">
      <c r="A49" s="2" t="inlineStr">
        <is>
          <t>Baroda BNP Paribas Flexi Cap Fund</t>
        </is>
      </c>
      <c r="B49" s="2" t="inlineStr">
        <is>
          <t>flexi cap</t>
        </is>
      </c>
      <c r="C49" s="2" t="inlineStr">
        <is>
          <t>Nifty 500 TRI</t>
        </is>
      </c>
      <c r="D49" s="2" t="inlineStr">
        <is>
          <t>Very High</t>
        </is>
      </c>
      <c r="E49" s="2" t="inlineStr">
        <is>
          <t>Very High</t>
        </is>
      </c>
      <c r="F49" s="10" t="n">
        <v>46023</v>
      </c>
      <c r="G49" s="2" t="n">
        <v>15.9079</v>
      </c>
      <c r="H49" s="2" t="n">
        <v>16.6788</v>
      </c>
      <c r="I49" s="2" t="n">
        <v>2.420063</v>
      </c>
      <c r="J49" s="2" t="n">
        <v>-4.9989653</v>
      </c>
      <c r="K49" s="2" t="n">
        <v>7.4190283</v>
      </c>
      <c r="L49" s="2" t="n">
        <v>18.03962</v>
      </c>
      <c r="M49" s="2" t="n">
        <v>1.317391000000001</v>
      </c>
      <c r="N49" s="2" t="n">
        <v>16.722229</v>
      </c>
      <c r="O49" s="2" t="n"/>
      <c r="P49" s="2" t="n"/>
      <c r="Q49" s="2" t="n"/>
      <c r="R49" s="2" t="n"/>
      <c r="S49" s="2" t="n"/>
      <c r="T49" s="2" t="n"/>
      <c r="U49" s="2" t="n">
        <v>16.335766</v>
      </c>
      <c r="V49" s="2" t="n">
        <v>1271.26</v>
      </c>
      <c r="W49" s="2" t="n">
        <v>-1.198815622360051</v>
      </c>
      <c r="X49" s="2" t="n">
        <v>-1.503301281068823</v>
      </c>
      <c r="Y49" s="2" t="n"/>
      <c r="Z49" s="2" t="n"/>
      <c r="AA49" s="2" t="n">
        <v>0.3140263953643976</v>
      </c>
      <c r="AB49" s="2" t="n">
        <v>-0.02709135529700437</v>
      </c>
      <c r="AC49" s="2" t="n"/>
      <c r="AD49" s="2" t="n"/>
      <c r="AE49" s="2" t="n">
        <v>1.1920741</v>
      </c>
      <c r="AF49" s="2" t="n"/>
      <c r="AG49" s="2" t="n">
        <v>16.458939</v>
      </c>
      <c r="AH49" s="2" t="n"/>
      <c r="AI49" s="2" t="n">
        <v>15.192857</v>
      </c>
      <c r="AJ49" s="2" t="n">
        <v>15.192857</v>
      </c>
      <c r="AK49" s="2" t="n">
        <v>14.718715</v>
      </c>
      <c r="AL49" s="2" t="inlineStr">
        <is>
          <t>Equity Scheme - Flexi Cap Fund</t>
        </is>
      </c>
      <c r="AM49" s="2" t="n">
        <v>1.99</v>
      </c>
      <c r="AN49" s="2" t="n">
        <v>0</v>
      </c>
      <c r="AO49" s="2" t="n">
        <v>0.05</v>
      </c>
      <c r="AP49" s="2" t="n">
        <v>0.14</v>
      </c>
      <c r="AQ49" s="2" t="n">
        <v>2.18</v>
      </c>
      <c r="AR49" s="2" t="n">
        <v>0.82</v>
      </c>
      <c r="AS49" s="2" t="n">
        <v>0</v>
      </c>
      <c r="AT49" s="2" t="n">
        <v>0.05</v>
      </c>
      <c r="AU49" s="2" t="n">
        <v>0.14</v>
      </c>
      <c r="AV49" s="2" t="n">
        <v>1.01</v>
      </c>
      <c r="AW49" s="17" t="n">
        <v>1.412771580951185</v>
      </c>
      <c r="AX49" s="18" t="inlineStr">
        <is>
          <t>-18cr</t>
        </is>
      </c>
      <c r="AY49" s="26" t="n">
        <v>1.563039567261755</v>
      </c>
      <c r="AZ49" s="26" t="n">
        <v>1.187066464526627</v>
      </c>
      <c r="BA49" s="26" t="n">
        <v>0.5809882593268786</v>
      </c>
      <c r="BB49" s="28" t="n">
        <v>1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</row>
    <row r="50">
      <c r="A50" s="2" t="inlineStr">
        <is>
          <t>Canara Robeco Flexi Cap Fund</t>
        </is>
      </c>
      <c r="B50" s="2" t="inlineStr">
        <is>
          <t>flexi cap</t>
        </is>
      </c>
      <c r="C50" s="2" t="inlineStr">
        <is>
          <t>BSE 500 TRI</t>
        </is>
      </c>
      <c r="D50" s="2" t="inlineStr">
        <is>
          <t>Very High</t>
        </is>
      </c>
      <c r="E50" s="2" t="inlineStr">
        <is>
          <t>Very High</t>
        </is>
      </c>
      <c r="F50" s="10" t="n">
        <v>46023</v>
      </c>
      <c r="G50" s="2" t="n">
        <v>349.6</v>
      </c>
      <c r="H50" s="2" t="n">
        <v>394.1</v>
      </c>
      <c r="I50" s="2" t="n">
        <v>8.055493999999999</v>
      </c>
      <c r="J50" s="2" t="n">
        <v>0.7664689999999998</v>
      </c>
      <c r="K50" s="2" t="n">
        <v>7.289025</v>
      </c>
      <c r="L50" s="2" t="n">
        <v>17.04706</v>
      </c>
      <c r="M50" s="2" t="n">
        <v>0.6329979999999971</v>
      </c>
      <c r="N50" s="2" t="n">
        <v>16.414062</v>
      </c>
      <c r="O50" s="2" t="n">
        <v>16.478092</v>
      </c>
      <c r="P50" s="2" t="n">
        <v>-0.2483450000000005</v>
      </c>
      <c r="Q50" s="2" t="n">
        <v>16.726437</v>
      </c>
      <c r="R50" s="2" t="n">
        <v>15.329123</v>
      </c>
      <c r="S50" s="2" t="n">
        <v>0.5398259999999997</v>
      </c>
      <c r="T50" s="2" t="n">
        <v>14.789297</v>
      </c>
      <c r="U50" s="2" t="n">
        <v>14.946739</v>
      </c>
      <c r="V50" s="2" t="n">
        <v>13763.67</v>
      </c>
      <c r="W50" s="2" t="n">
        <v>0.2690804831868114</v>
      </c>
      <c r="X50" s="2" t="n">
        <v>-0.2089634925888919</v>
      </c>
      <c r="Y50" s="2" t="n">
        <v>0.1015709748395933</v>
      </c>
      <c r="Z50" s="2" t="n">
        <v>-0.222993159769075</v>
      </c>
      <c r="AA50" s="2" t="n">
        <v>0.1684850766215812</v>
      </c>
      <c r="AB50" s="2" t="n">
        <v>-0.2801044336328925</v>
      </c>
      <c r="AC50" s="2" t="n">
        <v>-0.118140543460406</v>
      </c>
      <c r="AD50" s="2" t="n">
        <v>-0.5714831831708089</v>
      </c>
      <c r="AE50" s="2" t="n">
        <v>6.829641</v>
      </c>
      <c r="AF50" s="2" t="n">
        <v>14.135211</v>
      </c>
      <c r="AG50" s="2" t="n">
        <v>15.701756</v>
      </c>
      <c r="AH50" s="2" t="n">
        <v>15.052524</v>
      </c>
      <c r="AI50" s="2" t="n"/>
      <c r="AJ50" s="2" t="n">
        <v>14.405049</v>
      </c>
      <c r="AK50" s="2" t="n">
        <v>17.27048</v>
      </c>
      <c r="AL50" s="2" t="inlineStr">
        <is>
          <t>Equity Scheme - Flexi Cap Fund</t>
        </is>
      </c>
      <c r="AM50" s="2" t="n">
        <v>1.57</v>
      </c>
      <c r="AN50" s="2" t="n">
        <v>0</v>
      </c>
      <c r="AO50" s="2" t="n">
        <v>0.05</v>
      </c>
      <c r="AP50" s="2" t="n">
        <v>0.07000000000000001</v>
      </c>
      <c r="AQ50" s="2" t="n">
        <v>1.69</v>
      </c>
      <c r="AR50" s="2" t="n">
        <v>0.44</v>
      </c>
      <c r="AS50" s="2" t="n">
        <v>0</v>
      </c>
      <c r="AT50" s="2" t="n">
        <v>0.05</v>
      </c>
      <c r="AU50" s="2" t="n">
        <v>0.07000000000000001</v>
      </c>
      <c r="AV50" s="2" t="n">
        <v>0.5600000000000001</v>
      </c>
      <c r="AW50" s="17" t="n">
        <v>1.006635584840375</v>
      </c>
      <c r="AX50" s="18" t="inlineStr">
        <is>
          <t>-139cr</t>
        </is>
      </c>
      <c r="AY50" s="26" t="n">
        <v>0.9872818439325275</v>
      </c>
      <c r="AZ50" s="26" t="n">
        <v>1.187066464526627</v>
      </c>
      <c r="BA50" s="26" t="n">
        <v>0.5021818406254803</v>
      </c>
      <c r="BB50" s="28" t="n">
        <v>5</v>
      </c>
      <c r="BC50" t="n">
        <v>1</v>
      </c>
      <c r="BD50" t="n">
        <v>1</v>
      </c>
      <c r="BE50" t="n">
        <v>1</v>
      </c>
      <c r="BF50" t="n">
        <v>1</v>
      </c>
      <c r="BG50" t="n">
        <v>0</v>
      </c>
      <c r="BH50" t="n">
        <v>1</v>
      </c>
    </row>
    <row r="51">
      <c r="A51" s="2" t="inlineStr">
        <is>
          <t>Edelweiss Flexi Cap Fund</t>
        </is>
      </c>
      <c r="B51" s="2" t="inlineStr">
        <is>
          <t>flexi cap</t>
        </is>
      </c>
      <c r="C51" s="2" t="inlineStr">
        <is>
          <t>Nifty 500 TRI</t>
        </is>
      </c>
      <c r="D51" s="2" t="inlineStr">
        <is>
          <t>Very High</t>
        </is>
      </c>
      <c r="E51" s="2" t="inlineStr">
        <is>
          <t>Very High</t>
        </is>
      </c>
      <c r="F51" s="10" t="n">
        <v>46023</v>
      </c>
      <c r="G51" s="2" t="n">
        <v>39.983</v>
      </c>
      <c r="H51" s="2" t="n">
        <v>46.559</v>
      </c>
      <c r="I51" s="2" t="n">
        <v>6.8675833</v>
      </c>
      <c r="J51" s="2" t="n">
        <v>-0.5514450000000002</v>
      </c>
      <c r="K51" s="2" t="n">
        <v>7.4190283</v>
      </c>
      <c r="L51" s="2" t="n">
        <v>21.451258</v>
      </c>
      <c r="M51" s="2" t="n">
        <v>4.729029000000001</v>
      </c>
      <c r="N51" s="2" t="n">
        <v>16.722229</v>
      </c>
      <c r="O51" s="2" t="n">
        <v>20.189014</v>
      </c>
      <c r="P51" s="2" t="n">
        <v>3.400297000000002</v>
      </c>
      <c r="Q51" s="2" t="n">
        <v>16.788717</v>
      </c>
      <c r="R51" s="2" t="n">
        <v>16.568422</v>
      </c>
      <c r="S51" s="2" t="n">
        <v>1.835483000000002</v>
      </c>
      <c r="T51" s="2" t="n">
        <v>14.732939</v>
      </c>
      <c r="U51" s="2" t="n">
        <v>15.129011</v>
      </c>
      <c r="V51" s="2" t="n">
        <v>3136.53</v>
      </c>
      <c r="W51" s="2" t="n">
        <v>-0.2095122072086099</v>
      </c>
      <c r="X51" s="2" t="n">
        <v>-0.8469852271834309</v>
      </c>
      <c r="Y51" s="2" t="n">
        <v>0.4282413050512833</v>
      </c>
      <c r="Z51" s="2" t="n">
        <v>0.03966395662040573</v>
      </c>
      <c r="AA51" s="2" t="n">
        <v>1.527616980388347</v>
      </c>
      <c r="AB51" s="2" t="n">
        <v>0.9392992000116648</v>
      </c>
      <c r="AC51" s="2" t="n">
        <v>0.9769217004343153</v>
      </c>
      <c r="AD51" s="2" t="n">
        <v>0.4272780787693806</v>
      </c>
      <c r="AE51" s="2" t="n">
        <v>5.2821445</v>
      </c>
      <c r="AF51" s="2" t="n">
        <v>14.925585</v>
      </c>
      <c r="AG51" s="2" t="n">
        <v>19.584482</v>
      </c>
      <c r="AH51" s="2" t="n">
        <v>18.250044</v>
      </c>
      <c r="AI51" s="2" t="n">
        <v>12.950184</v>
      </c>
      <c r="AJ51" s="2" t="n">
        <v>12.950184</v>
      </c>
      <c r="AK51" s="2" t="n">
        <v>13.534501</v>
      </c>
      <c r="AL51" s="2" t="inlineStr">
        <is>
          <t>Equity Scheme - Flexi Cap Fund</t>
        </is>
      </c>
      <c r="AM51" s="2" t="n">
        <v>1.79</v>
      </c>
      <c r="AN51" s="2" t="n">
        <v>0</v>
      </c>
      <c r="AO51" s="2" t="n">
        <v>0.05</v>
      </c>
      <c r="AP51" s="2" t="n">
        <v>0.05</v>
      </c>
      <c r="AQ51" s="2" t="n">
        <v>1.89</v>
      </c>
      <c r="AR51" s="2" t="n">
        <v>0.33</v>
      </c>
      <c r="AS51" s="2" t="n">
        <v>0</v>
      </c>
      <c r="AT51" s="2" t="n">
        <v>0.05</v>
      </c>
      <c r="AU51" s="2" t="n">
        <v>0.05</v>
      </c>
      <c r="AV51" s="2" t="n">
        <v>0.43</v>
      </c>
      <c r="AW51" s="17" t="n">
        <v>-1.970011445769701</v>
      </c>
      <c r="AX51" t="inlineStr">
        <is>
          <t>62cr</t>
        </is>
      </c>
      <c r="AY51" s="26" t="n">
        <v>1.394912722863957</v>
      </c>
      <c r="AZ51" s="26" t="n">
        <v>1.187066464526627</v>
      </c>
      <c r="BA51" s="26" t="n">
        <v>0.519333102290938</v>
      </c>
      <c r="BB51" s="28" t="n">
        <v>2</v>
      </c>
      <c r="BC51" t="n">
        <v>1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</row>
    <row r="52">
      <c r="A52" s="2" t="inlineStr">
        <is>
          <t>Franklin India Flexi Cap Fund</t>
        </is>
      </c>
      <c r="B52" s="2" t="inlineStr">
        <is>
          <t>flexi cap</t>
        </is>
      </c>
      <c r="C52" s="2" t="inlineStr">
        <is>
          <t>Nifty 500 TRI</t>
        </is>
      </c>
      <c r="D52" s="2" t="inlineStr">
        <is>
          <t>Very High</t>
        </is>
      </c>
      <c r="E52" s="2" t="inlineStr">
        <is>
          <t>Very High</t>
        </is>
      </c>
      <c r="F52" s="10" t="n">
        <v>46023</v>
      </c>
      <c r="G52" s="2" t="n">
        <v>1671.6899</v>
      </c>
      <c r="H52" s="2" t="n">
        <v>1867.8126</v>
      </c>
      <c r="I52" s="2" t="n">
        <v>4.0697527</v>
      </c>
      <c r="J52" s="2" t="n">
        <v>-3.3492756</v>
      </c>
      <c r="K52" s="2" t="n">
        <v>7.4190283</v>
      </c>
      <c r="L52" s="2" t="n">
        <v>19.064255</v>
      </c>
      <c r="M52" s="2" t="n">
        <v>2.342026000000001</v>
      </c>
      <c r="N52" s="2" t="n">
        <v>16.722229</v>
      </c>
      <c r="O52" s="2" t="n">
        <v>20.304815</v>
      </c>
      <c r="P52" s="2" t="n">
        <v>3.516098000000003</v>
      </c>
      <c r="Q52" s="2" t="n">
        <v>16.788717</v>
      </c>
      <c r="R52" s="2" t="n">
        <v>15.309034</v>
      </c>
      <c r="S52" s="2" t="n">
        <v>0.5760950000000005</v>
      </c>
      <c r="T52" s="2" t="n">
        <v>14.732939</v>
      </c>
      <c r="U52" s="2" t="n">
        <v>16.58758</v>
      </c>
      <c r="V52" s="2" t="n">
        <v>20019.98</v>
      </c>
      <c r="W52" s="2" t="n">
        <v>-1.246089511151468</v>
      </c>
      <c r="X52" s="2" t="n">
        <v>-1.547428147991132</v>
      </c>
      <c r="Y52" s="2" t="n">
        <v>0.1155359305953265</v>
      </c>
      <c r="Z52" s="2" t="n">
        <v>-0.1155106916783708</v>
      </c>
      <c r="AA52" s="2" t="n">
        <v>0.6949475591159087</v>
      </c>
      <c r="AB52" s="2" t="n">
        <v>0.4045300102459198</v>
      </c>
      <c r="AC52" s="2" t="n">
        <v>0.8832516112494984</v>
      </c>
      <c r="AD52" s="2" t="n">
        <v>0.6524201223295552</v>
      </c>
      <c r="AE52" s="2" t="n">
        <v>3.2491467</v>
      </c>
      <c r="AF52" s="2" t="n">
        <v>14.319618</v>
      </c>
      <c r="AG52" s="2" t="n">
        <v>18.13215</v>
      </c>
      <c r="AH52" s="2" t="n">
        <v>19.394794</v>
      </c>
      <c r="AI52" s="2" t="n"/>
      <c r="AJ52" s="2" t="n">
        <v>14.41386</v>
      </c>
      <c r="AK52" s="2" t="n">
        <v>17.780664</v>
      </c>
      <c r="AL52" s="2" t="inlineStr">
        <is>
          <t>Equity Scheme - Flexi Cap Fund</t>
        </is>
      </c>
      <c r="AM52" s="2" t="n">
        <v>1.52</v>
      </c>
      <c r="AN52" s="2" t="n">
        <v>0</v>
      </c>
      <c r="AO52" s="2" t="n">
        <v>0.05</v>
      </c>
      <c r="AP52" s="2" t="n">
        <v>0.13</v>
      </c>
      <c r="AQ52" s="2" t="n">
        <v>1.7</v>
      </c>
      <c r="AR52" s="2" t="n">
        <v>0.74</v>
      </c>
      <c r="AS52" s="2" t="n">
        <v>0</v>
      </c>
      <c r="AT52" s="2" t="n">
        <v>0.05</v>
      </c>
      <c r="AU52" s="2" t="n">
        <v>0.13</v>
      </c>
      <c r="AV52" s="2" t="n">
        <v>0.92</v>
      </c>
      <c r="AW52" s="17" t="n">
        <v>-0.02927075851224917</v>
      </c>
      <c r="AX52" t="inlineStr">
        <is>
          <t>6cr</t>
        </is>
      </c>
      <c r="AY52" s="26" t="n">
        <v>1.199235519484842</v>
      </c>
      <c r="AZ52" s="26" t="n">
        <v>1.187066464526627</v>
      </c>
      <c r="BA52" s="26" t="n">
        <v>0.505321725809687</v>
      </c>
      <c r="BB52" s="28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s="2" t="inlineStr">
        <is>
          <t>HDFC Flexi Cap Fund</t>
        </is>
      </c>
      <c r="B53" s="2" t="inlineStr">
        <is>
          <t>flexi cap</t>
        </is>
      </c>
      <c r="C53" s="2" t="inlineStr">
        <is>
          <t>Nifty 500 TRI</t>
        </is>
      </c>
      <c r="D53" s="2" t="inlineStr">
        <is>
          <t>Very High</t>
        </is>
      </c>
      <c r="E53" s="2" t="inlineStr">
        <is>
          <t>Very High</t>
        </is>
      </c>
      <c r="F53" s="10" t="n">
        <v>46023</v>
      </c>
      <c r="G53" s="2" t="n">
        <v>2078.458</v>
      </c>
      <c r="H53" s="2" t="n">
        <v>2279.307</v>
      </c>
      <c r="I53" s="2" t="n">
        <v>12.107284</v>
      </c>
      <c r="J53" s="2" t="n">
        <v>4.6882557</v>
      </c>
      <c r="K53" s="2" t="n">
        <v>7.4190283</v>
      </c>
      <c r="L53" s="2" t="n">
        <v>22.437267</v>
      </c>
      <c r="M53" s="2" t="n">
        <v>5.715038</v>
      </c>
      <c r="N53" s="2" t="n">
        <v>16.722229</v>
      </c>
      <c r="O53" s="2" t="n">
        <v>24.40257</v>
      </c>
      <c r="P53" s="2" t="n">
        <v>7.613853000000002</v>
      </c>
      <c r="Q53" s="2" t="n">
        <v>16.788717</v>
      </c>
      <c r="R53" s="2" t="n">
        <v>17.39256</v>
      </c>
      <c r="S53" s="2" t="n">
        <v>2.659621</v>
      </c>
      <c r="T53" s="2" t="n">
        <v>14.732939</v>
      </c>
      <c r="U53" s="2" t="n">
        <v>16.963785</v>
      </c>
      <c r="V53" s="2" t="n">
        <v>96659.09</v>
      </c>
      <c r="W53" s="2" t="n">
        <v>0.8672082419290532</v>
      </c>
      <c r="X53" s="2" t="n">
        <v>0.7234215340718194</v>
      </c>
      <c r="Y53" s="2" t="n">
        <v>0.4184968782679804</v>
      </c>
      <c r="Z53" s="2" t="n">
        <v>0.2982686877438293</v>
      </c>
      <c r="AA53" s="2" t="n">
        <v>1.050922552729766</v>
      </c>
      <c r="AB53" s="2" t="n">
        <v>0.8975422359592207</v>
      </c>
      <c r="AC53" s="2" t="n">
        <v>1.286238177067843</v>
      </c>
      <c r="AD53" s="2" t="n">
        <v>1.151052291944804</v>
      </c>
      <c r="AE53" s="2" t="n">
        <v>11.376314</v>
      </c>
      <c r="AF53" s="2" t="n">
        <v>16.571053</v>
      </c>
      <c r="AG53" s="2" t="n">
        <v>21.631271</v>
      </c>
      <c r="AH53" s="2" t="n">
        <v>23.595081</v>
      </c>
      <c r="AI53" s="2" t="n"/>
      <c r="AJ53" s="2" t="n">
        <v>14.41386</v>
      </c>
      <c r="AK53" s="2" t="n">
        <v>18.771713</v>
      </c>
      <c r="AL53" s="2" t="inlineStr">
        <is>
          <t>Equity Scheme - Flexi Cap Fund</t>
        </is>
      </c>
      <c r="AM53" s="2" t="n">
        <v>1.2</v>
      </c>
      <c r="AN53" s="2" t="n">
        <v>0</v>
      </c>
      <c r="AO53" s="2" t="n">
        <v>0.05</v>
      </c>
      <c r="AP53" s="2" t="n">
        <v>0.08</v>
      </c>
      <c r="AQ53" s="2" t="n">
        <v>1.33</v>
      </c>
      <c r="AR53" s="2" t="n">
        <v>0.54</v>
      </c>
      <c r="AS53" s="2" t="n">
        <v>0</v>
      </c>
      <c r="AT53" s="2" t="n">
        <v>0.05</v>
      </c>
      <c r="AU53" s="2" t="n">
        <v>0.08</v>
      </c>
      <c r="AV53" s="2" t="n">
        <v>0.67</v>
      </c>
      <c r="AW53" s="17" t="n">
        <v>-2.485239618953574</v>
      </c>
      <c r="AX53" t="inlineStr">
        <is>
          <t>2402cr</t>
        </is>
      </c>
      <c r="AY53" s="26" t="n">
        <v>0.9199887762126037</v>
      </c>
      <c r="AZ53" s="26" t="n">
        <v>1.187066464526627</v>
      </c>
      <c r="BA53" s="26" t="n">
        <v>0.4230936124870568</v>
      </c>
      <c r="BB53" s="28" t="n">
        <v>4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</row>
    <row r="54">
      <c r="A54" s="2" t="inlineStr">
        <is>
          <t>Helios Flexi Cap Fund</t>
        </is>
      </c>
      <c r="B54" s="2" t="inlineStr">
        <is>
          <t>flexi cap</t>
        </is>
      </c>
      <c r="C54" s="2" t="inlineStr">
        <is>
          <t>Nifty 500 TRI</t>
        </is>
      </c>
      <c r="D54" s="2" t="inlineStr">
        <is>
          <t>Very High</t>
        </is>
      </c>
      <c r="E54" s="2" t="inlineStr">
        <is>
          <t>Very High</t>
        </is>
      </c>
      <c r="F54" s="10" t="n">
        <v>46023</v>
      </c>
      <c r="G54" s="2" t="n">
        <v>15.11</v>
      </c>
      <c r="H54" s="2" t="n">
        <v>15.59</v>
      </c>
      <c r="I54" s="2" t="n">
        <v>7.2952514</v>
      </c>
      <c r="J54" s="2" t="n">
        <v>-0.1237769000000002</v>
      </c>
      <c r="K54" s="2" t="n">
        <v>7.4190283</v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>
        <v>23.095476</v>
      </c>
      <c r="V54" s="2" t="n">
        <v>5958.03</v>
      </c>
      <c r="W54" s="2" t="n">
        <v>0.03070027934135161</v>
      </c>
      <c r="X54" s="2" t="n">
        <v>-0.2267003258378079</v>
      </c>
      <c r="Y54" s="2" t="n"/>
      <c r="Z54" s="2" t="n"/>
      <c r="AA54" s="2" t="n"/>
      <c r="AB54" s="2" t="n"/>
      <c r="AC54" s="2" t="n"/>
      <c r="AD54" s="2" t="n"/>
      <c r="AE54" s="2" t="n">
        <v>5.886475</v>
      </c>
      <c r="AF54" s="2" t="n"/>
      <c r="AG54" s="2" t="n"/>
      <c r="AH54" s="2" t="n"/>
      <c r="AI54" s="2" t="n">
        <v>17.361689</v>
      </c>
      <c r="AJ54" s="2" t="n">
        <v>17.361689</v>
      </c>
      <c r="AK54" s="2" t="n">
        <v>21.3072</v>
      </c>
      <c r="AL54" s="2" t="inlineStr">
        <is>
          <t>Equity Scheme - Flexi Cap Fund</t>
        </is>
      </c>
      <c r="AM54" s="2" t="n">
        <v>1.68</v>
      </c>
      <c r="AN54" s="2" t="n">
        <v>0</v>
      </c>
      <c r="AO54" s="2" t="n">
        <v>0.05</v>
      </c>
      <c r="AP54" s="2" t="n">
        <v>0.06</v>
      </c>
      <c r="AQ54" s="2" t="n">
        <v>1.79</v>
      </c>
      <c r="AR54" s="2" t="n">
        <v>0.34</v>
      </c>
      <c r="AS54" s="2" t="n">
        <v>0</v>
      </c>
      <c r="AT54" s="2" t="n">
        <v>0.05</v>
      </c>
      <c r="AU54" s="2" t="n">
        <v>0.06</v>
      </c>
      <c r="AV54" s="2" t="n">
        <v>0.45</v>
      </c>
      <c r="AW54" s="17" t="n">
        <v>-7.345380939673003</v>
      </c>
      <c r="AX54" t="inlineStr">
        <is>
          <t>438cr</t>
        </is>
      </c>
      <c r="AY54" s="26" t="n">
        <v>1.339312685735181</v>
      </c>
      <c r="AZ54" s="26" t="n">
        <v>1.187066464526627</v>
      </c>
      <c r="BA54" s="26" t="n">
        <v>0.6195203223232996</v>
      </c>
      <c r="BB54" s="28" t="n">
        <v>2</v>
      </c>
      <c r="BC54" t="n">
        <v>1</v>
      </c>
      <c r="BD54" t="n">
        <v>0</v>
      </c>
      <c r="BE54" t="n">
        <v>1</v>
      </c>
      <c r="BF54" t="n">
        <v>0</v>
      </c>
      <c r="BG54" t="n">
        <v>0</v>
      </c>
      <c r="BH54" t="n">
        <v>0</v>
      </c>
    </row>
    <row r="55">
      <c r="A55" s="2" t="inlineStr">
        <is>
          <t>HSBC Flexi Cap Fund</t>
        </is>
      </c>
      <c r="B55" s="2" t="inlineStr">
        <is>
          <t>flexi cap</t>
        </is>
      </c>
      <c r="C55" s="2" t="inlineStr">
        <is>
          <t>Nifty 500 TRI</t>
        </is>
      </c>
      <c r="D55" s="2" t="inlineStr">
        <is>
          <t>Very High</t>
        </is>
      </c>
      <c r="E55" s="2" t="inlineStr">
        <is>
          <t>Very High</t>
        </is>
      </c>
      <c r="F55" s="10" t="n">
        <v>46023</v>
      </c>
      <c r="G55" s="2" t="n">
        <v>223.1279</v>
      </c>
      <c r="H55" s="2" t="n">
        <v>249.7109</v>
      </c>
      <c r="I55" s="2" t="n">
        <v>1.7687509</v>
      </c>
      <c r="J55" s="2" t="n">
        <v>-5.6502774</v>
      </c>
      <c r="K55" s="2" t="n">
        <v>7.4190283</v>
      </c>
      <c r="L55" s="2" t="n">
        <v>20.766436</v>
      </c>
      <c r="M55" s="2" t="n">
        <v>4.044207</v>
      </c>
      <c r="N55" s="2" t="n">
        <v>16.722229</v>
      </c>
      <c r="O55" s="2" t="n">
        <v>18.159712</v>
      </c>
      <c r="P55" s="2" t="n">
        <v>1.370995000000001</v>
      </c>
      <c r="Q55" s="2" t="n">
        <v>16.788717</v>
      </c>
      <c r="R55" s="2" t="n">
        <v>14.605161</v>
      </c>
      <c r="S55" s="2" t="n">
        <v>-0.1277779999999993</v>
      </c>
      <c r="T55" s="2" t="n">
        <v>14.732939</v>
      </c>
      <c r="U55" s="2" t="n">
        <v>15.464699</v>
      </c>
      <c r="V55" s="2" t="n">
        <v>5242.46</v>
      </c>
      <c r="W55" s="2" t="n">
        <v>-1.218914109964289</v>
      </c>
      <c r="X55" s="2" t="n">
        <v>-1.400469146831395</v>
      </c>
      <c r="Y55" s="2" t="n">
        <v>0.01684499467738331</v>
      </c>
      <c r="Z55" s="2" t="n">
        <v>-0.2126887158176883</v>
      </c>
      <c r="AA55" s="2" t="n">
        <v>1.033849816375853</v>
      </c>
      <c r="AB55" s="2" t="n">
        <v>0.8114117562745342</v>
      </c>
      <c r="AC55" s="2" t="n">
        <v>0.3742673591808352</v>
      </c>
      <c r="AD55" s="2" t="n">
        <v>0.1126369394735588</v>
      </c>
      <c r="AE55" s="2" t="n">
        <v>1.0067726</v>
      </c>
      <c r="AF55" s="2" t="n">
        <v>13.577503</v>
      </c>
      <c r="AG55" s="2" t="n">
        <v>19.848223</v>
      </c>
      <c r="AH55" s="2" t="n">
        <v>17.06816</v>
      </c>
      <c r="AI55" s="2" t="n">
        <v>15.057521</v>
      </c>
      <c r="AJ55" s="2" t="n">
        <v>14.357214</v>
      </c>
      <c r="AK55" s="2" t="n">
        <v>15.25679</v>
      </c>
      <c r="AL55" s="2" t="inlineStr">
        <is>
          <t>Equity Scheme - Flexi Cap Fund</t>
        </is>
      </c>
      <c r="AM55" s="2" t="n">
        <v>1.71</v>
      </c>
      <c r="AN55" s="2" t="n">
        <v>0</v>
      </c>
      <c r="AO55" s="2" t="n">
        <v>0.05</v>
      </c>
      <c r="AP55" s="2" t="n">
        <v>0.16</v>
      </c>
      <c r="AQ55" s="2" t="n">
        <v>1.92</v>
      </c>
      <c r="AR55" s="2" t="n">
        <v>0.98</v>
      </c>
      <c r="AS55" s="2" t="n">
        <v>0</v>
      </c>
      <c r="AT55" s="2" t="n">
        <v>0.05</v>
      </c>
      <c r="AU55" s="2" t="n">
        <v>0.16</v>
      </c>
      <c r="AV55" s="2" t="n">
        <v>1.19</v>
      </c>
      <c r="AW55" s="17" t="n">
        <v>0.3019574779778945</v>
      </c>
      <c r="AX55" s="18" t="inlineStr">
        <is>
          <t>-16cr</t>
        </is>
      </c>
      <c r="AY55" s="26" t="n">
        <v>1.205968057278364</v>
      </c>
      <c r="AZ55" s="26" t="n">
        <v>1.187066464526627</v>
      </c>
      <c r="BA55" s="26" t="n">
        <v>0.623247741878643</v>
      </c>
      <c r="BB55" s="28" t="n">
        <v>1</v>
      </c>
      <c r="BC55" t="n">
        <v>0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</row>
    <row r="56">
      <c r="A56" s="2" t="inlineStr">
        <is>
          <t>ICICI Prudential Flexicap Fund</t>
        </is>
      </c>
      <c r="B56" s="2" t="inlineStr">
        <is>
          <t>flexi cap</t>
        </is>
      </c>
      <c r="C56" s="2" t="inlineStr">
        <is>
          <t>BSE 500 TRI</t>
        </is>
      </c>
      <c r="D56" s="2" t="inlineStr">
        <is>
          <t>Very High</t>
        </is>
      </c>
      <c r="E56" s="2" t="inlineStr">
        <is>
          <t>Very High</t>
        </is>
      </c>
      <c r="F56" s="10" t="n">
        <v>46023</v>
      </c>
      <c r="G56" s="2" t="n">
        <v>19.83</v>
      </c>
      <c r="H56" s="2" t="n">
        <v>20.89</v>
      </c>
      <c r="I56" s="2" t="n">
        <v>9.831756</v>
      </c>
      <c r="J56" s="2" t="n">
        <v>2.542731000000001</v>
      </c>
      <c r="K56" s="2" t="n">
        <v>7.289025</v>
      </c>
      <c r="L56" s="2" t="n">
        <v>20.53689</v>
      </c>
      <c r="M56" s="2" t="n">
        <v>4.122827999999998</v>
      </c>
      <c r="N56" s="2" t="n">
        <v>16.414062</v>
      </c>
      <c r="O56" s="2" t="n"/>
      <c r="P56" s="2" t="n"/>
      <c r="Q56" s="2" t="n"/>
      <c r="R56" s="2" t="n"/>
      <c r="S56" s="2" t="n"/>
      <c r="T56" s="2" t="n"/>
      <c r="U56" s="2" t="n">
        <v>17.946928</v>
      </c>
      <c r="V56" s="2" t="n">
        <v>20183.5</v>
      </c>
      <c r="W56" s="2" t="n">
        <v>0.4741907061198115</v>
      </c>
      <c r="X56" s="2" t="n">
        <v>0.2950402984036397</v>
      </c>
      <c r="Y56" s="2" t="n"/>
      <c r="Z56" s="2" t="n"/>
      <c r="AA56" s="2" t="n">
        <v>0.7172785656367967</v>
      </c>
      <c r="AB56" s="2" t="n">
        <v>0.5080970234835003</v>
      </c>
      <c r="AC56" s="2" t="n"/>
      <c r="AD56" s="2" t="n"/>
      <c r="AE56" s="2" t="n">
        <v>8.836444</v>
      </c>
      <c r="AF56" s="2" t="n"/>
      <c r="AG56" s="2" t="n">
        <v>19.34069</v>
      </c>
      <c r="AH56" s="2" t="n"/>
      <c r="AI56" s="2" t="n">
        <v>14.227759</v>
      </c>
      <c r="AJ56" s="2" t="n">
        <v>14.227759</v>
      </c>
      <c r="AK56" s="2" t="n">
        <v>16.578716</v>
      </c>
      <c r="AL56" s="2" t="inlineStr">
        <is>
          <t>Equity Scheme - Flexi Cap Fund</t>
        </is>
      </c>
      <c r="AM56" s="2" t="n">
        <v>1.52</v>
      </c>
      <c r="AN56" s="2" t="n">
        <v>0</v>
      </c>
      <c r="AO56" s="2" t="n">
        <v>0.05</v>
      </c>
      <c r="AP56" s="2" t="n">
        <v>0.11</v>
      </c>
      <c r="AQ56" s="2" t="n">
        <v>1.68</v>
      </c>
      <c r="AR56" s="2" t="n">
        <v>0.63</v>
      </c>
      <c r="AS56" s="2" t="n">
        <v>0</v>
      </c>
      <c r="AT56" s="2" t="n">
        <v>0.05</v>
      </c>
      <c r="AU56" s="2" t="n">
        <v>0.11</v>
      </c>
      <c r="AV56" s="2" t="n">
        <v>0.79</v>
      </c>
      <c r="AW56" s="17" t="n">
        <v>-0.3701042931107129</v>
      </c>
      <c r="AX56" t="inlineStr">
        <is>
          <t>75cr</t>
        </is>
      </c>
      <c r="AY56" s="26" t="n">
        <v>0.9342939001769234</v>
      </c>
      <c r="AZ56" s="26" t="n">
        <v>1.187066464526627</v>
      </c>
      <c r="BA56" s="26" t="n">
        <v>0.5135596377421361</v>
      </c>
      <c r="BB56" s="28" t="n">
        <v>3</v>
      </c>
      <c r="BC56" t="n">
        <v>1</v>
      </c>
      <c r="BD56" t="n">
        <v>0</v>
      </c>
      <c r="BE56" t="n">
        <v>0</v>
      </c>
      <c r="BF56" t="n">
        <v>1</v>
      </c>
      <c r="BG56" t="n">
        <v>0</v>
      </c>
      <c r="BH56" t="n">
        <v>1</v>
      </c>
    </row>
    <row r="57">
      <c r="A57" s="2" t="inlineStr">
        <is>
          <t>Invesco India Flexi Cap Fund</t>
        </is>
      </c>
      <c r="B57" s="2" t="inlineStr">
        <is>
          <t>flexi cap</t>
        </is>
      </c>
      <c r="C57" s="2" t="inlineStr">
        <is>
          <t>BSE 500 TRI</t>
        </is>
      </c>
      <c r="D57" s="2" t="inlineStr">
        <is>
          <t>Very High</t>
        </is>
      </c>
      <c r="E57" s="2" t="inlineStr">
        <is>
          <t>Very High</t>
        </is>
      </c>
      <c r="F57" s="10" t="n">
        <v>46023</v>
      </c>
      <c r="G57" s="2" t="n">
        <v>18.84</v>
      </c>
      <c r="H57" s="2" t="n">
        <v>20</v>
      </c>
      <c r="I57" s="2" t="n">
        <v>0.5025126</v>
      </c>
      <c r="J57" s="2" t="n">
        <v>-6.786512399999999</v>
      </c>
      <c r="K57" s="2" t="n">
        <v>7.289025</v>
      </c>
      <c r="L57" s="2" t="n">
        <v>23.150541</v>
      </c>
      <c r="M57" s="2" t="n">
        <v>6.736478999999999</v>
      </c>
      <c r="N57" s="2" t="n">
        <v>16.414062</v>
      </c>
      <c r="O57" s="2" t="n"/>
      <c r="P57" s="2" t="n"/>
      <c r="Q57" s="2" t="n"/>
      <c r="R57" s="2" t="n"/>
      <c r="S57" s="2" t="n"/>
      <c r="T57" s="2" t="n"/>
      <c r="U57" s="2" t="n">
        <v>19.50262</v>
      </c>
      <c r="V57" s="2" t="n">
        <v>4735.91</v>
      </c>
      <c r="W57" s="2" t="n">
        <v>-1.113700162555237</v>
      </c>
      <c r="X57" s="2" t="n">
        <v>-1.344831967695707</v>
      </c>
      <c r="Y57" s="2" t="n"/>
      <c r="Z57" s="2" t="n"/>
      <c r="AA57" s="2" t="n">
        <v>1.263316735825782</v>
      </c>
      <c r="AB57" s="2" t="n">
        <v>0.9404372704436238</v>
      </c>
      <c r="AC57" s="2" t="n"/>
      <c r="AD57" s="2" t="n"/>
      <c r="AE57" s="2" t="n">
        <v>-0.84210527</v>
      </c>
      <c r="AF57" s="2" t="n"/>
      <c r="AG57" s="2" t="n">
        <v>21.373695</v>
      </c>
      <c r="AH57" s="2" t="n"/>
      <c r="AI57" s="2" t="n">
        <v>13.984487</v>
      </c>
      <c r="AJ57" s="2" t="n">
        <v>13.984487</v>
      </c>
      <c r="AK57" s="2" t="n">
        <v>17.681288</v>
      </c>
      <c r="AL57" s="2" t="inlineStr">
        <is>
          <t>Equity Scheme - Flexi Cap Fund</t>
        </is>
      </c>
      <c r="AM57" s="2" t="n">
        <v>1.73</v>
      </c>
      <c r="AN57" s="2" t="n">
        <v>0</v>
      </c>
      <c r="AO57" s="2" t="n">
        <v>0.05</v>
      </c>
      <c r="AP57" s="2" t="n">
        <v>0.07000000000000001</v>
      </c>
      <c r="AQ57" s="2" t="n">
        <v>1.85</v>
      </c>
      <c r="AR57" s="2" t="n">
        <v>0.44</v>
      </c>
      <c r="AS57" s="2" t="n">
        <v>0</v>
      </c>
      <c r="AT57" s="2" t="n">
        <v>0.05</v>
      </c>
      <c r="AU57" s="2" t="n">
        <v>0.07000000000000001</v>
      </c>
      <c r="AV57" s="2" t="n">
        <v>0.5600000000000001</v>
      </c>
      <c r="AW57" s="17" t="n">
        <v>-1.44470650835848</v>
      </c>
      <c r="AX57" t="inlineStr">
        <is>
          <t>68cr</t>
        </is>
      </c>
      <c r="AY57" s="26" t="n">
        <v>1.199693039611049</v>
      </c>
      <c r="AZ57" s="26" t="n">
        <v>1.187066464526627</v>
      </c>
      <c r="BA57" s="26" t="n">
        <v>0.5970756926726967</v>
      </c>
      <c r="BB57" s="28" t="n">
        <v>1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</row>
    <row r="58">
      <c r="A58" s="2" t="inlineStr">
        <is>
          <t>ITI Flexi Cap Fund</t>
        </is>
      </c>
      <c r="B58" s="2" t="inlineStr">
        <is>
          <t>flexi cap</t>
        </is>
      </c>
      <c r="C58" s="2" t="inlineStr">
        <is>
          <t>Nifty 500 TRI</t>
        </is>
      </c>
      <c r="D58" s="2" t="inlineStr">
        <is>
          <t>Very High</t>
        </is>
      </c>
      <c r="E58" s="2" t="inlineStr">
        <is>
          <t>Very High</t>
        </is>
      </c>
      <c r="F58" s="10" t="n">
        <v>46023</v>
      </c>
      <c r="G58" s="2" t="n">
        <v>18.3301</v>
      </c>
      <c r="H58" s="2" t="n">
        <v>19.2695</v>
      </c>
      <c r="I58" s="2" t="n">
        <v>4.0486617</v>
      </c>
      <c r="J58" s="2" t="n">
        <v>-3.3703666</v>
      </c>
      <c r="K58" s="2" t="n">
        <v>7.4190283</v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>
        <v>25.637936</v>
      </c>
      <c r="V58" s="2" t="n">
        <v>1297.16</v>
      </c>
      <c r="W58" s="2" t="n">
        <v>-0.6109288716871055</v>
      </c>
      <c r="X58" s="2" t="n">
        <v>-0.9508591400454492</v>
      </c>
      <c r="Y58" s="2" t="n"/>
      <c r="Z58" s="2" t="n"/>
      <c r="AA58" s="2" t="n"/>
      <c r="AB58" s="2" t="n"/>
      <c r="AC58" s="2" t="n"/>
      <c r="AD58" s="2" t="n"/>
      <c r="AE58" s="2" t="n">
        <v>2.4079423</v>
      </c>
      <c r="AF58" s="2" t="n"/>
      <c r="AG58" s="2" t="n"/>
      <c r="AH58" s="2" t="n"/>
      <c r="AI58" s="2" t="n">
        <v>18.731947</v>
      </c>
      <c r="AJ58" s="2" t="n">
        <v>18.731947</v>
      </c>
      <c r="AK58" s="2" t="n">
        <v>23.471952</v>
      </c>
      <c r="AL58" s="2" t="inlineStr">
        <is>
          <t>Equity Scheme - Flexi Cap Fund</t>
        </is>
      </c>
      <c r="AM58" s="2" t="n">
        <v>1.93</v>
      </c>
      <c r="AN58" s="2" t="n">
        <v>0</v>
      </c>
      <c r="AO58" s="2" t="n">
        <v>0.05</v>
      </c>
      <c r="AP58" s="2" t="n">
        <v>0.01</v>
      </c>
      <c r="AQ58" s="2" t="n">
        <v>1.99</v>
      </c>
      <c r="AR58" s="2" t="n">
        <v>0.31</v>
      </c>
      <c r="AS58" s="2" t="n">
        <v>0</v>
      </c>
      <c r="AT58" s="2" t="n">
        <v>0.05</v>
      </c>
      <c r="AU58" s="2" t="n">
        <v>0.01</v>
      </c>
      <c r="AV58" s="2" t="n">
        <v>0.37</v>
      </c>
      <c r="AW58" s="17" t="n">
        <v>0.03314934163864414</v>
      </c>
      <c r="AX58" t="inlineStr">
        <is>
          <t>0cr</t>
        </is>
      </c>
      <c r="AY58" s="26" t="n">
        <v>1.115639445973994</v>
      </c>
      <c r="AZ58" s="26" t="n">
        <v>1.187066464526627</v>
      </c>
      <c r="BA58" s="26" t="n">
        <v>0.5589413379490071</v>
      </c>
      <c r="BB58" s="28" t="n">
        <v>3</v>
      </c>
      <c r="BC58" t="n">
        <v>0</v>
      </c>
      <c r="BD58" t="n">
        <v>1</v>
      </c>
      <c r="BE58" t="n">
        <v>1</v>
      </c>
      <c r="BF58" t="n">
        <v>0</v>
      </c>
      <c r="BG58" t="n">
        <v>0</v>
      </c>
      <c r="BH58" t="n">
        <v>1</v>
      </c>
    </row>
    <row r="59">
      <c r="A59" s="2" t="inlineStr">
        <is>
          <t>JioBlackRock Flexi Cap Fund</t>
        </is>
      </c>
      <c r="B59" s="2" t="inlineStr">
        <is>
          <t>flexi cap</t>
        </is>
      </c>
      <c r="C59" s="2" t="inlineStr">
        <is>
          <t>Nifty 500 TRI</t>
        </is>
      </c>
      <c r="D59" s="2" t="inlineStr">
        <is>
          <t>Very High</t>
        </is>
      </c>
      <c r="E59" s="2" t="inlineStr">
        <is>
          <t>Very High</t>
        </is>
      </c>
      <c r="F59" s="10" t="n">
        <v>46023</v>
      </c>
      <c r="G59" s="2" t="n"/>
      <c r="H59" s="2" t="n">
        <v>10.29</v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>
        <v>2503.03</v>
      </c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Equity Scheme - Flexi Cap Fund</t>
        </is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0.44</v>
      </c>
      <c r="AS59" s="2" t="n">
        <v>0</v>
      </c>
      <c r="AT59" s="2" t="n">
        <v>0</v>
      </c>
      <c r="AU59" s="2" t="n">
        <v>0.06</v>
      </c>
      <c r="AV59" s="2" t="n">
        <v>0.5</v>
      </c>
      <c r="AW59" s="17" t="n">
        <v>-10.84725312920741</v>
      </c>
      <c r="AX59" t="inlineStr">
        <is>
          <t>272cr</t>
        </is>
      </c>
      <c r="AY59" s="26" t="n">
        <v>0.6484539594807479</v>
      </c>
      <c r="AZ59" s="26" t="n">
        <v>1.187066464526627</v>
      </c>
      <c r="BA59" s="26" t="n">
        <v>0.5126061971058598</v>
      </c>
      <c r="BB59" s="28" t="n">
        <v>2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1</v>
      </c>
    </row>
    <row r="60">
      <c r="A60" s="2" t="inlineStr">
        <is>
          <t>Mahindra Manulife Flexi Cap Fund</t>
        </is>
      </c>
      <c r="B60" s="2" t="inlineStr">
        <is>
          <t>flexi cap</t>
        </is>
      </c>
      <c r="C60" s="2" t="inlineStr">
        <is>
          <t>Nifty 500 TRI</t>
        </is>
      </c>
      <c r="D60" s="2" t="inlineStr">
        <is>
          <t>Very High</t>
        </is>
      </c>
      <c r="E60" s="2" t="inlineStr">
        <is>
          <t>Very High</t>
        </is>
      </c>
      <c r="F60" s="10" t="n">
        <v>46023</v>
      </c>
      <c r="G60" s="2" t="n">
        <v>16.66</v>
      </c>
      <c r="H60" s="2" t="n">
        <v>18.0348</v>
      </c>
      <c r="I60" s="2" t="n">
        <v>8.216374999999999</v>
      </c>
      <c r="J60" s="2" t="n">
        <v>0.7973466999999994</v>
      </c>
      <c r="K60" s="2" t="n">
        <v>7.4190283</v>
      </c>
      <c r="L60" s="2" t="n">
        <v>19.106222</v>
      </c>
      <c r="M60" s="2" t="n">
        <v>2.383993</v>
      </c>
      <c r="N60" s="2" t="n">
        <v>16.722229</v>
      </c>
      <c r="O60" s="2" t="n"/>
      <c r="P60" s="2" t="n"/>
      <c r="Q60" s="2" t="n"/>
      <c r="R60" s="2" t="n"/>
      <c r="S60" s="2" t="n"/>
      <c r="T60" s="2" t="n"/>
      <c r="U60" s="2" t="n">
        <v>14.477199</v>
      </c>
      <c r="V60" s="2" t="n">
        <v>1601.5</v>
      </c>
      <c r="W60" s="2" t="n">
        <v>0.2245334152280044</v>
      </c>
      <c r="X60" s="2" t="n">
        <v>-0.3807316513417527</v>
      </c>
      <c r="Y60" s="2" t="n"/>
      <c r="Z60" s="2" t="n"/>
      <c r="AA60" s="2" t="n">
        <v>0.6889719595970857</v>
      </c>
      <c r="AB60" s="2" t="n">
        <v>0.09100615838888357</v>
      </c>
      <c r="AC60" s="2" t="n"/>
      <c r="AD60" s="2" t="n"/>
      <c r="AE60" s="2" t="n">
        <v>6.4713626</v>
      </c>
      <c r="AF60" s="2" t="n"/>
      <c r="AG60" s="2" t="n">
        <v>17.108019</v>
      </c>
      <c r="AH60" s="2" t="n"/>
      <c r="AI60" s="2" t="n">
        <v>14.309262</v>
      </c>
      <c r="AJ60" s="2" t="n">
        <v>14.309262</v>
      </c>
      <c r="AK60" s="2" t="n">
        <v>12.414861</v>
      </c>
      <c r="AL60" s="2" t="inlineStr">
        <is>
          <t>Equity Scheme - Flexi Cap Fund</t>
        </is>
      </c>
      <c r="AM60" s="2" t="n">
        <v>1.95</v>
      </c>
      <c r="AN60" s="2" t="n">
        <v>0</v>
      </c>
      <c r="AO60" s="2" t="n">
        <v>0.05</v>
      </c>
      <c r="AP60" s="2" t="n">
        <v>0.05</v>
      </c>
      <c r="AQ60" s="2" t="n">
        <v>2.05</v>
      </c>
      <c r="AR60" s="2" t="n">
        <v>0.33</v>
      </c>
      <c r="AS60" s="2" t="n">
        <v>0</v>
      </c>
      <c r="AT60" s="2" t="n">
        <v>0.05</v>
      </c>
      <c r="AU60" s="2" t="n">
        <v>0.05</v>
      </c>
      <c r="AV60" s="2" t="n">
        <v>0.43</v>
      </c>
      <c r="AW60" s="17" t="n">
        <v>-0.004370902279109356</v>
      </c>
      <c r="AX60" t="inlineStr">
        <is>
          <t>0cr</t>
        </is>
      </c>
      <c r="AY60" s="26" t="n">
        <v>1.185661436682883</v>
      </c>
      <c r="AZ60" s="26" t="n">
        <v>1.187066464526627</v>
      </c>
      <c r="BA60" s="26" t="n">
        <v>0.4686002942375413</v>
      </c>
      <c r="BB60" s="28" t="n">
        <v>4</v>
      </c>
      <c r="BC60" t="n">
        <v>1</v>
      </c>
      <c r="BD60" t="n">
        <v>0</v>
      </c>
      <c r="BE60" t="n">
        <v>1</v>
      </c>
      <c r="BF60" t="n">
        <v>1</v>
      </c>
      <c r="BG60" t="n">
        <v>0</v>
      </c>
      <c r="BH60" t="n">
        <v>1</v>
      </c>
    </row>
    <row r="61">
      <c r="A61" s="2" t="inlineStr">
        <is>
          <t>Mirae Asset Flexi Cap Fund</t>
        </is>
      </c>
      <c r="B61" s="2" t="inlineStr">
        <is>
          <t>flexi cap</t>
        </is>
      </c>
      <c r="C61" s="2" t="inlineStr">
        <is>
          <t>Nifty 500 TRI</t>
        </is>
      </c>
      <c r="D61" s="2" t="inlineStr">
        <is>
          <t>Very High</t>
        </is>
      </c>
      <c r="E61" s="2" t="inlineStr">
        <is>
          <t>Very High</t>
        </is>
      </c>
      <c r="F61" s="10" t="n">
        <v>46023</v>
      </c>
      <c r="G61" s="2" t="n">
        <v>16.511</v>
      </c>
      <c r="H61" s="2" t="n">
        <v>17.225</v>
      </c>
      <c r="I61" s="2" t="n">
        <v>9.951487999999999</v>
      </c>
      <c r="J61" s="2" t="n">
        <v>2.5324597</v>
      </c>
      <c r="K61" s="2" t="n">
        <v>7.4190283</v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>
        <v>21.049383</v>
      </c>
      <c r="V61" s="2" t="n">
        <v>3546.82</v>
      </c>
      <c r="W61" s="2" t="n">
        <v>0.851249563713787</v>
      </c>
      <c r="X61" s="2" t="n">
        <v>0.3390452625644824</v>
      </c>
      <c r="Y61" s="2" t="n"/>
      <c r="Z61" s="2" t="n"/>
      <c r="AA61" s="2" t="n"/>
      <c r="AB61" s="2" t="n"/>
      <c r="AC61" s="2" t="n"/>
      <c r="AD61" s="2" t="n"/>
      <c r="AE61" s="2" t="n">
        <v>8.3825655</v>
      </c>
      <c r="AF61" s="2" t="n"/>
      <c r="AG61" s="2" t="n"/>
      <c r="AH61" s="2" t="n"/>
      <c r="AI61" s="2" t="n">
        <v>20.219704</v>
      </c>
      <c r="AJ61" s="2" t="n">
        <v>20.219704</v>
      </c>
      <c r="AK61" s="2" t="n">
        <v>19.262426</v>
      </c>
      <c r="AL61" s="2" t="inlineStr">
        <is>
          <t>Equity Scheme - Flexi Cap Fund</t>
        </is>
      </c>
      <c r="AM61" s="2" t="n">
        <v>1.77</v>
      </c>
      <c r="AN61" s="2" t="n">
        <v>0</v>
      </c>
      <c r="AO61" s="2" t="n">
        <v>0.05</v>
      </c>
      <c r="AP61" s="2" t="n">
        <v>0.06</v>
      </c>
      <c r="AQ61" s="2" t="n">
        <v>1.88</v>
      </c>
      <c r="AR61" s="2" t="n">
        <v>0.34</v>
      </c>
      <c r="AS61" s="2" t="n">
        <v>0</v>
      </c>
      <c r="AT61" s="2" t="n">
        <v>0.05</v>
      </c>
      <c r="AU61" s="2" t="n">
        <v>0.06</v>
      </c>
      <c r="AV61" s="2" t="n">
        <v>0.45</v>
      </c>
      <c r="AW61" s="17" t="n">
        <v>-3.020734066008434</v>
      </c>
      <c r="AX61" t="inlineStr">
        <is>
          <t>107cr</t>
        </is>
      </c>
      <c r="AY61" s="26" t="n">
        <v>1.674667232025731</v>
      </c>
      <c r="AZ61" s="26" t="n">
        <v>1.187066464526627</v>
      </c>
      <c r="BA61" s="26" t="n">
        <v>0.5075684343085798</v>
      </c>
      <c r="BB61" s="28" t="n">
        <v>3</v>
      </c>
      <c r="BC61" t="n">
        <v>1</v>
      </c>
      <c r="BD61" t="n">
        <v>0</v>
      </c>
      <c r="BE61" t="n">
        <v>1</v>
      </c>
      <c r="BF61" t="n">
        <v>1</v>
      </c>
      <c r="BG61" t="n">
        <v>0</v>
      </c>
      <c r="BH61" t="n">
        <v>0</v>
      </c>
    </row>
    <row r="62">
      <c r="A62" s="2" t="inlineStr">
        <is>
          <t>Motilal Oswal Flexi Cap Fund</t>
        </is>
      </c>
      <c r="B62" s="2" t="inlineStr">
        <is>
          <t>flexi cap</t>
        </is>
      </c>
      <c r="C62" s="2" t="inlineStr">
        <is>
          <t>Nifty 500 TRI</t>
        </is>
      </c>
      <c r="D62" s="2" t="inlineStr">
        <is>
          <t>Very High</t>
        </is>
      </c>
      <c r="E62" s="2" t="inlineStr">
        <is>
          <t>Very High</t>
        </is>
      </c>
      <c r="F62" s="10" t="n">
        <v>46023</v>
      </c>
      <c r="G62" s="2" t="n">
        <v>60.3775</v>
      </c>
      <c r="H62" s="2" t="n">
        <v>67.1694</v>
      </c>
      <c r="I62" s="2" t="n">
        <v>-5.264984</v>
      </c>
      <c r="J62" s="2" t="n">
        <v>-12.6840123</v>
      </c>
      <c r="K62" s="2" t="n">
        <v>7.4190283</v>
      </c>
      <c r="L62" s="2" t="n">
        <v>22.705143</v>
      </c>
      <c r="M62" s="2" t="n">
        <v>5.982914000000001</v>
      </c>
      <c r="N62" s="2" t="n">
        <v>16.722229</v>
      </c>
      <c r="O62" s="2" t="n">
        <v>15.8995285</v>
      </c>
      <c r="P62" s="2" t="n">
        <v>-0.8891884999999977</v>
      </c>
      <c r="Q62" s="2" t="n">
        <v>16.788717</v>
      </c>
      <c r="R62" s="2" t="n">
        <v>13.964144</v>
      </c>
      <c r="S62" s="2" t="n">
        <v>-0.7687950000000008</v>
      </c>
      <c r="T62" s="2" t="n">
        <v>14.732939</v>
      </c>
      <c r="U62" s="2" t="n">
        <v>17.69906</v>
      </c>
      <c r="V62" s="2" t="n">
        <v>13871.54</v>
      </c>
      <c r="W62" s="2" t="n">
        <v>-1.324963758564411</v>
      </c>
      <c r="X62" s="2" t="n">
        <v>-1.419532620411851</v>
      </c>
      <c r="Y62" s="2" t="n">
        <v>-0.07860685519975484</v>
      </c>
      <c r="Z62" s="2" t="n">
        <v>-0.2130347676776486</v>
      </c>
      <c r="AA62" s="2" t="n">
        <v>0.6686710269039066</v>
      </c>
      <c r="AB62" s="2" t="n">
        <v>0.5625214970608376</v>
      </c>
      <c r="AC62" s="2" t="n">
        <v>-0.07889574228649499</v>
      </c>
      <c r="AD62" s="2" t="n">
        <v>-0.200778238507745</v>
      </c>
      <c r="AE62" s="2" t="n">
        <v>-6.0689034</v>
      </c>
      <c r="AF62" s="2" t="n">
        <v>12.959318</v>
      </c>
      <c r="AG62" s="2" t="n">
        <v>21.66854</v>
      </c>
      <c r="AH62" s="2" t="n">
        <v>14.907373</v>
      </c>
      <c r="AI62" s="2" t="n">
        <v>14.983109</v>
      </c>
      <c r="AJ62" s="2" t="n">
        <v>14.983109</v>
      </c>
      <c r="AK62" s="2" t="n">
        <v>16.630426</v>
      </c>
      <c r="AL62" s="2" t="inlineStr">
        <is>
          <t>Equity Scheme - Flexi Cap Fund</t>
        </is>
      </c>
      <c r="AM62" s="2" t="n">
        <v>1.56</v>
      </c>
      <c r="AN62" s="2" t="n">
        <v>0</v>
      </c>
      <c r="AO62" s="2" t="n">
        <v>0.05</v>
      </c>
      <c r="AP62" s="2" t="n">
        <v>0.1</v>
      </c>
      <c r="AQ62" s="2" t="n">
        <v>1.71</v>
      </c>
      <c r="AR62" s="2" t="n">
        <v>0.68</v>
      </c>
      <c r="AS62" s="2" t="n">
        <v>0</v>
      </c>
      <c r="AT62" s="2" t="n">
        <v>0.05</v>
      </c>
      <c r="AU62" s="2" t="n">
        <v>0.1</v>
      </c>
      <c r="AV62" s="2" t="n">
        <v>0.83</v>
      </c>
      <c r="AW62" s="17" t="n">
        <v>3.124310638905265</v>
      </c>
      <c r="AX62" s="18" t="inlineStr">
        <is>
          <t>-433cr</t>
        </is>
      </c>
      <c r="AY62" s="26" t="n">
        <v>1.432844369881687</v>
      </c>
      <c r="AZ62" s="26" t="n">
        <v>1.187066464526627</v>
      </c>
      <c r="BA62" s="26" t="n">
        <v>0.7679370607558603</v>
      </c>
      <c r="BB62" s="28" t="n">
        <v>1</v>
      </c>
      <c r="BC62" t="n">
        <v>0</v>
      </c>
      <c r="BD62" t="n">
        <v>1</v>
      </c>
      <c r="BE62" t="n">
        <v>0</v>
      </c>
      <c r="BF62" t="n">
        <v>0</v>
      </c>
      <c r="BG62" t="n">
        <v>0</v>
      </c>
      <c r="BH62" t="n">
        <v>0</v>
      </c>
    </row>
    <row r="63">
      <c r="A63" s="2" t="inlineStr">
        <is>
          <t>Navi Flexi Cap Fund</t>
        </is>
      </c>
      <c r="B63" s="2" t="inlineStr">
        <is>
          <t>flexi cap</t>
        </is>
      </c>
      <c r="C63" s="2" t="inlineStr">
        <is>
          <t>Nifty 500 TRI</t>
        </is>
      </c>
      <c r="D63" s="2" t="inlineStr">
        <is>
          <t>Very High</t>
        </is>
      </c>
      <c r="E63" s="2" t="inlineStr">
        <is>
          <t>Very High</t>
        </is>
      </c>
      <c r="F63" s="10" t="n">
        <v>46023</v>
      </c>
      <c r="G63" s="2" t="n">
        <v>23.6597</v>
      </c>
      <c r="H63" s="2" t="n">
        <v>27.394</v>
      </c>
      <c r="I63" s="2" t="n">
        <v>6.342755</v>
      </c>
      <c r="J63" s="2" t="n">
        <v>-1.0762733</v>
      </c>
      <c r="K63" s="2" t="n">
        <v>7.4190283</v>
      </c>
      <c r="L63" s="2" t="n">
        <v>15.311314</v>
      </c>
      <c r="M63" s="2" t="n">
        <v>-1.410914999999999</v>
      </c>
      <c r="N63" s="2" t="n">
        <v>16.722229</v>
      </c>
      <c r="O63" s="2" t="n">
        <v>16.19742</v>
      </c>
      <c r="P63" s="2" t="n">
        <v>-0.5912969999999973</v>
      </c>
      <c r="Q63" s="2" t="n">
        <v>16.788717</v>
      </c>
      <c r="R63" s="2" t="n"/>
      <c r="S63" s="2" t="n"/>
      <c r="T63" s="2" t="n"/>
      <c r="U63" s="2" t="n">
        <v>14.406353</v>
      </c>
      <c r="V63" s="2" t="n">
        <v>264.07</v>
      </c>
      <c r="W63" s="2" t="n">
        <v>-0.2874094304074747</v>
      </c>
      <c r="X63" s="2" t="n">
        <v>-0.7755300003185808</v>
      </c>
      <c r="Y63" s="2" t="n"/>
      <c r="Z63" s="2" t="n"/>
      <c r="AA63" s="2" t="n">
        <v>-0.3682818885530629</v>
      </c>
      <c r="AB63" s="2" t="n">
        <v>-0.8753331178655301</v>
      </c>
      <c r="AC63" s="2" t="n">
        <v>-0.1701659532318507</v>
      </c>
      <c r="AD63" s="2" t="n">
        <v>-0.7222452447255908</v>
      </c>
      <c r="AE63" s="2" t="n">
        <v>4.471674</v>
      </c>
      <c r="AF63" s="2" t="n"/>
      <c r="AG63" s="2" t="n">
        <v>13.230241</v>
      </c>
      <c r="AH63" s="2" t="n">
        <v>14.035459</v>
      </c>
      <c r="AI63" s="2" t="n">
        <v>14.683003</v>
      </c>
      <c r="AJ63" s="2" t="n">
        <v>14.683003</v>
      </c>
      <c r="AK63" s="2" t="n">
        <v>12.1889305</v>
      </c>
      <c r="AL63" s="2" t="inlineStr">
        <is>
          <t>Equity Scheme - Flexi Cap Fund</t>
        </is>
      </c>
      <c r="AM63" s="2" t="n">
        <v>2.2</v>
      </c>
      <c r="AN63" s="2" t="n">
        <v>0</v>
      </c>
      <c r="AO63" s="2" t="n">
        <v>0</v>
      </c>
      <c r="AP63" s="2" t="n">
        <v>0.03</v>
      </c>
      <c r="AQ63" s="2" t="n">
        <v>2.23</v>
      </c>
      <c r="AR63" s="2" t="n">
        <v>0.53</v>
      </c>
      <c r="AS63" s="2" t="n">
        <v>0</v>
      </c>
      <c r="AT63" s="2" t="n">
        <v>0</v>
      </c>
      <c r="AU63" s="2" t="n">
        <v>0.03</v>
      </c>
      <c r="AV63" s="2" t="n">
        <v>0.5600000000000001</v>
      </c>
      <c r="AW63" s="17" t="n">
        <v>0.3938349680009166</v>
      </c>
      <c r="AX63" s="18" t="inlineStr">
        <is>
          <t>-1cr</t>
        </is>
      </c>
      <c r="AY63" s="26" t="n">
        <v>1.344364137744067</v>
      </c>
      <c r="AZ63" s="26" t="n">
        <v>1.187066464526627</v>
      </c>
      <c r="BA63" s="26" t="n">
        <v>0.519282442768439</v>
      </c>
      <c r="BB63" s="28" t="n">
        <v>3</v>
      </c>
      <c r="BC63" t="n">
        <v>1</v>
      </c>
      <c r="BD63" t="n">
        <v>1</v>
      </c>
      <c r="BE63" t="n">
        <v>1</v>
      </c>
      <c r="BF63" t="n">
        <v>0</v>
      </c>
      <c r="BG63" t="n">
        <v>0</v>
      </c>
      <c r="BH63" t="n">
        <v>0</v>
      </c>
    </row>
    <row r="64">
      <c r="A64" s="2" t="inlineStr">
        <is>
          <t>Nippon India Flexi Cap Fund</t>
        </is>
      </c>
      <c r="B64" s="2" t="inlineStr">
        <is>
          <t>flexi cap</t>
        </is>
      </c>
      <c r="C64" s="2" t="inlineStr">
        <is>
          <t>Nifty 500 TRI</t>
        </is>
      </c>
      <c r="D64" s="2" t="inlineStr">
        <is>
          <t>Very High</t>
        </is>
      </c>
      <c r="E64" s="2" t="inlineStr">
        <is>
          <t>Very High</t>
        </is>
      </c>
      <c r="F64" s="10" t="n">
        <v>46023</v>
      </c>
      <c r="G64" s="2" t="n">
        <v>16.9396</v>
      </c>
      <c r="H64" s="2" t="n">
        <v>18.0184</v>
      </c>
      <c r="I64" s="2" t="n">
        <v>3.757961</v>
      </c>
      <c r="J64" s="2" t="n">
        <v>-3.6610673</v>
      </c>
      <c r="K64" s="2" t="n">
        <v>7.4190283</v>
      </c>
      <c r="L64" s="2" t="n">
        <v>17.940052</v>
      </c>
      <c r="M64" s="2" t="n">
        <v>1.217823000000003</v>
      </c>
      <c r="N64" s="2" t="n">
        <v>16.722229</v>
      </c>
      <c r="O64" s="2" t="n"/>
      <c r="P64" s="2" t="n"/>
      <c r="Q64" s="2" t="n"/>
      <c r="R64" s="2" t="n"/>
      <c r="S64" s="2" t="n"/>
      <c r="T64" s="2" t="n"/>
      <c r="U64" s="2" t="n">
        <v>14.385703</v>
      </c>
      <c r="V64" s="2" t="n">
        <v>9611.83</v>
      </c>
      <c r="W64" s="2" t="n">
        <v>-1.496269634261181</v>
      </c>
      <c r="X64" s="2" t="n">
        <v>-2.051729428495959</v>
      </c>
      <c r="Y64" s="2" t="n"/>
      <c r="Z64" s="2" t="n"/>
      <c r="AA64" s="2" t="n">
        <v>0.3841479846515414</v>
      </c>
      <c r="AB64" s="2" t="n">
        <v>-0.09427572280911818</v>
      </c>
      <c r="AC64" s="2" t="n"/>
      <c r="AD64" s="2" t="n"/>
      <c r="AE64" s="2" t="n">
        <v>2.4357796</v>
      </c>
      <c r="AF64" s="2" t="n"/>
      <c r="AG64" s="2" t="n">
        <v>16.412949</v>
      </c>
      <c r="AH64" s="2" t="n"/>
      <c r="AI64" s="2" t="n">
        <v>13.985141</v>
      </c>
      <c r="AJ64" s="2" t="n">
        <v>13.985141</v>
      </c>
      <c r="AK64" s="2" t="n">
        <v>12.78496</v>
      </c>
      <c r="AL64" s="2" t="inlineStr">
        <is>
          <t>Equity Scheme - Flexi Cap Fund</t>
        </is>
      </c>
      <c r="AM64" s="2" t="n">
        <v>1.62</v>
      </c>
      <c r="AN64" s="2" t="n">
        <v>0</v>
      </c>
      <c r="AO64" s="2" t="n">
        <v>0.05</v>
      </c>
      <c r="AP64" s="2" t="n">
        <v>0.06</v>
      </c>
      <c r="AQ64" s="2" t="n">
        <v>1.73</v>
      </c>
      <c r="AR64" s="2" t="n">
        <v>0.35</v>
      </c>
      <c r="AS64" s="2" t="n">
        <v>0</v>
      </c>
      <c r="AT64" s="2" t="n">
        <v>0.05</v>
      </c>
      <c r="AU64" s="2" t="n">
        <v>0.06</v>
      </c>
      <c r="AV64" s="2" t="n">
        <v>0.46</v>
      </c>
      <c r="AW64" s="17" t="n">
        <v>0.1371226915166029</v>
      </c>
      <c r="AX64" s="18" t="inlineStr">
        <is>
          <t>-13cr</t>
        </is>
      </c>
      <c r="AY64" s="26" t="n">
        <v>0.9905581694836434</v>
      </c>
      <c r="AZ64" s="26" t="n">
        <v>1.187066464526627</v>
      </c>
      <c r="BA64" s="26" t="n">
        <v>0.5145754702491113</v>
      </c>
      <c r="BB64" s="28" t="n">
        <v>3</v>
      </c>
      <c r="BC64" t="n">
        <v>0</v>
      </c>
      <c r="BD64" t="n">
        <v>1</v>
      </c>
      <c r="BE64" t="n">
        <v>1</v>
      </c>
      <c r="BF64" t="n">
        <v>0</v>
      </c>
      <c r="BG64" t="n">
        <v>0</v>
      </c>
      <c r="BH64" t="n">
        <v>1</v>
      </c>
    </row>
    <row r="65">
      <c r="A65" s="2" t="inlineStr">
        <is>
          <t>NJ Flexi Cap Fund</t>
        </is>
      </c>
      <c r="B65" s="2" t="inlineStr">
        <is>
          <t>flexi cap</t>
        </is>
      </c>
      <c r="C65" s="2" t="inlineStr">
        <is>
          <t>Nifty 500 TRI</t>
        </is>
      </c>
      <c r="D65" s="2" t="inlineStr">
        <is>
          <t>Very High</t>
        </is>
      </c>
      <c r="E65" s="2" t="inlineStr">
        <is>
          <t>Very High</t>
        </is>
      </c>
      <c r="F65" s="10" t="n">
        <v>46023</v>
      </c>
      <c r="G65" s="2" t="n">
        <v>13.36</v>
      </c>
      <c r="H65" s="2" t="n">
        <v>13.87</v>
      </c>
      <c r="I65" s="2" t="n">
        <v>-1.7009213</v>
      </c>
      <c r="J65" s="2" t="n">
        <v>-9.1199496</v>
      </c>
      <c r="K65" s="2" t="n">
        <v>7.4190283</v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>
        <v>15.101548</v>
      </c>
      <c r="V65" s="2" t="n">
        <v>2507.86</v>
      </c>
      <c r="W65" s="2" t="n">
        <v>-1.50306917200641</v>
      </c>
      <c r="X65" s="2" t="n">
        <v>-1.752010896963831</v>
      </c>
      <c r="Y65" s="2" t="n"/>
      <c r="Z65" s="2" t="n"/>
      <c r="AA65" s="2" t="n"/>
      <c r="AB65" s="2" t="n"/>
      <c r="AC65" s="2" t="n"/>
      <c r="AD65" s="2" t="n"/>
      <c r="AE65" s="2" t="n">
        <v>-3.1182015</v>
      </c>
      <c r="AF65" s="2" t="n"/>
      <c r="AG65" s="2" t="n"/>
      <c r="AH65" s="2" t="n"/>
      <c r="AI65" s="2" t="n">
        <v>16.10348</v>
      </c>
      <c r="AJ65" s="2" t="n">
        <v>16.10348</v>
      </c>
      <c r="AK65" s="2" t="n">
        <v>13.262568</v>
      </c>
      <c r="AL65" s="2" t="inlineStr">
        <is>
          <t>Equity Scheme - Flexi Cap Fund</t>
        </is>
      </c>
      <c r="AM65" s="2" t="n">
        <v>1.85</v>
      </c>
      <c r="AN65" s="2" t="n">
        <v>0</v>
      </c>
      <c r="AO65" s="2" t="n">
        <v>0.05</v>
      </c>
      <c r="AP65" s="2" t="n">
        <v>0.06</v>
      </c>
      <c r="AQ65" s="2" t="n">
        <v>1.96</v>
      </c>
      <c r="AR65" s="2" t="n">
        <v>0.38</v>
      </c>
      <c r="AS65" s="2" t="n">
        <v>0</v>
      </c>
      <c r="AT65" s="2" t="n">
        <v>0.05</v>
      </c>
      <c r="AU65" s="2" t="n">
        <v>0.06</v>
      </c>
      <c r="AV65" s="2" t="n">
        <v>0.49</v>
      </c>
      <c r="AW65" s="17" t="n">
        <v>-0.8293923903248259</v>
      </c>
      <c r="AX65" t="inlineStr">
        <is>
          <t>21cr</t>
        </is>
      </c>
      <c r="AY65" s="26" t="n">
        <v>0.6857011824637997</v>
      </c>
      <c r="AZ65" s="26" t="n">
        <v>1.187066464526627</v>
      </c>
      <c r="BA65" s="26" t="n">
        <v>0.4593728722949841</v>
      </c>
      <c r="BB65" s="28" t="n">
        <v>2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1</v>
      </c>
    </row>
    <row r="66">
      <c r="A66" s="2" t="inlineStr">
        <is>
          <t>Parag Parikh Flexi Cap Fund</t>
        </is>
      </c>
      <c r="B66" s="2" t="inlineStr">
        <is>
          <t>flexi cap</t>
        </is>
      </c>
      <c r="C66" s="2" t="inlineStr">
        <is>
          <t>Nifty 500 TRI</t>
        </is>
      </c>
      <c r="D66" s="2" t="inlineStr">
        <is>
          <t>Very High</t>
        </is>
      </c>
      <c r="E66" s="2" t="inlineStr">
        <is>
          <t>Very High</t>
        </is>
      </c>
      <c r="F66" s="10" t="n">
        <v>46023</v>
      </c>
      <c r="G66" s="2" t="n">
        <v>86.8558</v>
      </c>
      <c r="H66" s="2" t="n">
        <v>94.9335</v>
      </c>
      <c r="I66" s="2" t="n">
        <v>7.9457073</v>
      </c>
      <c r="J66" s="2" t="n">
        <v>0.5266789999999997</v>
      </c>
      <c r="K66" s="2" t="n">
        <v>7.4190283</v>
      </c>
      <c r="L66" s="2" t="n">
        <v>22.916784</v>
      </c>
      <c r="M66" s="2" t="n">
        <v>6.194555000000001</v>
      </c>
      <c r="N66" s="2" t="n">
        <v>16.722229</v>
      </c>
      <c r="O66" s="2" t="n">
        <v>20.655302</v>
      </c>
      <c r="P66" s="2" t="n">
        <v>3.866585000000001</v>
      </c>
      <c r="Q66" s="2" t="n">
        <v>16.788717</v>
      </c>
      <c r="R66" s="2" t="n">
        <v>18.252146</v>
      </c>
      <c r="S66" s="2" t="n">
        <v>3.519207</v>
      </c>
      <c r="T66" s="2" t="n">
        <v>14.732939</v>
      </c>
      <c r="U66" s="2" t="n">
        <v>19.52862</v>
      </c>
      <c r="V66" s="2" t="n">
        <v>133050.17</v>
      </c>
      <c r="W66" s="2" t="n">
        <v>-0.001350359426709293</v>
      </c>
      <c r="X66" s="2" t="n">
        <v>-0.0902259455721124</v>
      </c>
      <c r="Y66" s="2" t="n">
        <v>0.2647133085570329</v>
      </c>
      <c r="Z66" s="2" t="n">
        <v>0.1828144942319167</v>
      </c>
      <c r="AA66" s="2" t="n">
        <v>0.7229738819452188</v>
      </c>
      <c r="AB66" s="2" t="n">
        <v>0.6147968117600379</v>
      </c>
      <c r="AC66" s="2" t="n">
        <v>0.3642702563871282</v>
      </c>
      <c r="AD66" s="2" t="n">
        <v>0.2604655138704536</v>
      </c>
      <c r="AE66" s="2" t="n">
        <v>7.2385178</v>
      </c>
      <c r="AF66" s="2" t="n">
        <v>17.354528</v>
      </c>
      <c r="AG66" s="2" t="n">
        <v>22.036774</v>
      </c>
      <c r="AH66" s="2" t="n">
        <v>19.654808</v>
      </c>
      <c r="AI66" s="2" t="n">
        <v>15.068122</v>
      </c>
      <c r="AJ66" s="2" t="n">
        <v>15.068122</v>
      </c>
      <c r="AK66" s="2" t="n">
        <v>18.689081</v>
      </c>
      <c r="AL66" s="2" t="inlineStr">
        <is>
          <t>Equity Scheme - Flexi Cap Fund</t>
        </is>
      </c>
      <c r="AM66" s="2" t="n">
        <v>1.15</v>
      </c>
      <c r="AN66" s="2" t="n">
        <v>0</v>
      </c>
      <c r="AO66" s="2" t="n">
        <v>0.05</v>
      </c>
      <c r="AP66" s="2" t="n">
        <v>0.08</v>
      </c>
      <c r="AQ66" s="2" t="n">
        <v>1.28</v>
      </c>
      <c r="AR66" s="2" t="n">
        <v>0.5</v>
      </c>
      <c r="AS66" s="2" t="n">
        <v>0</v>
      </c>
      <c r="AT66" s="2" t="n">
        <v>0.05</v>
      </c>
      <c r="AU66" s="2" t="n">
        <v>0.08</v>
      </c>
      <c r="AV66" s="2" t="n">
        <v>0.63</v>
      </c>
      <c r="AW66" s="17" t="n">
        <v>-2.429083705793091</v>
      </c>
      <c r="AX66" t="inlineStr">
        <is>
          <t>3232cr</t>
        </is>
      </c>
      <c r="AY66" s="26" t="n">
        <v>0.8712730899163145</v>
      </c>
      <c r="AZ66" s="26" t="n">
        <v>1.187066464526627</v>
      </c>
      <c r="BA66" s="26" t="n">
        <v>0.3268160331574983</v>
      </c>
      <c r="BB66" s="28" t="n">
        <v>4</v>
      </c>
      <c r="BC66" t="n">
        <v>1</v>
      </c>
      <c r="BD66" t="n">
        <v>0</v>
      </c>
      <c r="BE66" t="n">
        <v>1</v>
      </c>
      <c r="BF66" t="n">
        <v>1</v>
      </c>
      <c r="BG66" t="n">
        <v>0</v>
      </c>
      <c r="BH66" t="n">
        <v>1</v>
      </c>
    </row>
    <row r="67">
      <c r="A67" s="2" t="inlineStr">
        <is>
          <t>Shriram Flexi Cap Fund</t>
        </is>
      </c>
      <c r="B67" s="2" t="inlineStr">
        <is>
          <t>flexi cap</t>
        </is>
      </c>
      <c r="C67" s="2" t="inlineStr">
        <is>
          <t>Nifty 500 TRI</t>
        </is>
      </c>
      <c r="D67" s="2" t="inlineStr">
        <is>
          <t>Very High</t>
        </is>
      </c>
      <c r="E67" s="2" t="inlineStr">
        <is>
          <t>Very High</t>
        </is>
      </c>
      <c r="F67" s="10" t="n">
        <v>46023</v>
      </c>
      <c r="G67" s="2" t="n">
        <v>20.6418</v>
      </c>
      <c r="H67" s="2" t="n">
        <v>23.4662</v>
      </c>
      <c r="I67" s="2" t="n">
        <v>-4.9724426</v>
      </c>
      <c r="J67" s="2" t="n">
        <v>-12.3914709</v>
      </c>
      <c r="K67" s="2" t="n">
        <v>7.4190283</v>
      </c>
      <c r="L67" s="2" t="n">
        <v>13.073445</v>
      </c>
      <c r="M67" s="2" t="n">
        <v>-3.648783999999999</v>
      </c>
      <c r="N67" s="2" t="n">
        <v>16.722229</v>
      </c>
      <c r="O67" s="2" t="n">
        <v>13.01038</v>
      </c>
      <c r="P67" s="2" t="n">
        <v>-3.778336999999999</v>
      </c>
      <c r="Q67" s="2" t="n">
        <v>16.788717</v>
      </c>
      <c r="R67" s="2" t="n"/>
      <c r="S67" s="2" t="n"/>
      <c r="T67" s="2" t="n"/>
      <c r="U67" s="2" t="n">
        <v>12.456553</v>
      </c>
      <c r="V67" s="2" t="n">
        <v>137.09</v>
      </c>
      <c r="W67" s="2" t="n">
        <v>-2.336440921524567</v>
      </c>
      <c r="X67" s="2" t="n">
        <v>-2.648509939952281</v>
      </c>
      <c r="Y67" s="2" t="n"/>
      <c r="Z67" s="2" t="n"/>
      <c r="AA67" s="2" t="n">
        <v>-0.5230487927355734</v>
      </c>
      <c r="AB67" s="2" t="n">
        <v>-0.8267688604331805</v>
      </c>
      <c r="AC67" s="2" t="n">
        <v>-0.6492835612577481</v>
      </c>
      <c r="AD67" s="2" t="n">
        <v>-1.009351325880793</v>
      </c>
      <c r="AE67" s="2" t="n">
        <v>-6.4949536</v>
      </c>
      <c r="AF67" s="2" t="n"/>
      <c r="AG67" s="2" t="n">
        <v>11.179113</v>
      </c>
      <c r="AH67" s="2" t="n">
        <v>11.055163</v>
      </c>
      <c r="AI67" s="2" t="n">
        <v>15.379632</v>
      </c>
      <c r="AJ67" s="2" t="n">
        <v>15.379632</v>
      </c>
      <c r="AK67" s="2" t="n">
        <v>10.489073</v>
      </c>
      <c r="AL67" s="2" t="inlineStr">
        <is>
          <t>Equity Scheme - Flexi Cap Fund</t>
        </is>
      </c>
      <c r="AM67" s="2" t="n">
        <v>2.25</v>
      </c>
      <c r="AN67" s="2" t="n">
        <v>0</v>
      </c>
      <c r="AO67" s="2" t="n">
        <v>0.05</v>
      </c>
      <c r="AP67" s="2" t="n">
        <v>0.08500000000000001</v>
      </c>
      <c r="AQ67" s="2" t="n">
        <v>2.385</v>
      </c>
      <c r="AR67" s="2" t="n">
        <v>0.7</v>
      </c>
      <c r="AS67" s="2" t="n">
        <v>0</v>
      </c>
      <c r="AT67" s="2" t="n">
        <v>0.05</v>
      </c>
      <c r="AU67" s="2" t="n">
        <v>0.08500000000000001</v>
      </c>
      <c r="AV67" s="2" t="n">
        <v>0.835</v>
      </c>
      <c r="AW67" s="17" t="n">
        <v>0.3866073382449494</v>
      </c>
      <c r="AX67" s="18" t="inlineStr">
        <is>
          <t>-1cr</t>
        </is>
      </c>
      <c r="AY67" s="26" t="n">
        <v>1.398964224982572</v>
      </c>
      <c r="AZ67" s="26" t="n">
        <v>1.187066464526627</v>
      </c>
      <c r="BA67" s="26" t="n">
        <v>0.5060417725377356</v>
      </c>
      <c r="BB67" s="28" t="n">
        <v>1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</row>
    <row r="68">
      <c r="A68" s="2" t="inlineStr">
        <is>
          <t>Tata Flexi Cap Fund</t>
        </is>
      </c>
      <c r="B68" s="2" t="inlineStr">
        <is>
          <t>flexi cap</t>
        </is>
      </c>
      <c r="C68" s="2" t="inlineStr">
        <is>
          <t>Nifty 500 TRI</t>
        </is>
      </c>
      <c r="D68" s="2" t="inlineStr">
        <is>
          <t>Very High</t>
        </is>
      </c>
      <c r="E68" s="2" t="inlineStr">
        <is>
          <t>Very High</t>
        </is>
      </c>
      <c r="F68" s="10" t="n">
        <v>46023</v>
      </c>
      <c r="G68" s="2" t="n">
        <v>25.0126</v>
      </c>
      <c r="H68" s="2" t="n">
        <v>27.9301</v>
      </c>
      <c r="I68" s="2" t="n">
        <v>11.508979</v>
      </c>
      <c r="J68" s="2" t="n">
        <v>4.0899507</v>
      </c>
      <c r="K68" s="2" t="n">
        <v>7.4190283</v>
      </c>
      <c r="L68" s="2" t="n">
        <v>18.253437</v>
      </c>
      <c r="M68" s="2" t="n">
        <v>1.531208000000003</v>
      </c>
      <c r="N68" s="2" t="n">
        <v>16.722229</v>
      </c>
      <c r="O68" s="2" t="n">
        <v>15.635189</v>
      </c>
      <c r="P68" s="2" t="n">
        <v>-1.153527999999998</v>
      </c>
      <c r="Q68" s="2" t="n">
        <v>16.788717</v>
      </c>
      <c r="R68" s="2" t="n"/>
      <c r="S68" s="2" t="n"/>
      <c r="T68" s="2" t="n"/>
      <c r="U68" s="2" t="n">
        <v>15.050558</v>
      </c>
      <c r="V68" s="2" t="n">
        <v>3703.93</v>
      </c>
      <c r="W68" s="2" t="n">
        <v>0.9428590019415267</v>
      </c>
      <c r="X68" s="2" t="n">
        <v>0.6035212774499135</v>
      </c>
      <c r="Y68" s="2" t="n"/>
      <c r="Z68" s="2" t="n"/>
      <c r="AA68" s="2" t="n">
        <v>0.2959742053591034</v>
      </c>
      <c r="AB68" s="2" t="n">
        <v>-0.03866174889291243</v>
      </c>
      <c r="AC68" s="2" t="n">
        <v>-0.3085395025532165</v>
      </c>
      <c r="AD68" s="2" t="n">
        <v>-0.6572991400000178</v>
      </c>
      <c r="AE68" s="2" t="n">
        <v>10.100845</v>
      </c>
      <c r="AF68" s="2" t="n"/>
      <c r="AG68" s="2" t="n">
        <v>16.754393</v>
      </c>
      <c r="AH68" s="2" t="n">
        <v>14.121639</v>
      </c>
      <c r="AI68" s="2" t="n">
        <v>14.094865</v>
      </c>
      <c r="AJ68" s="2" t="n">
        <v>14.094865</v>
      </c>
      <c r="AK68" s="2" t="n">
        <v>13.330951</v>
      </c>
      <c r="AL68" s="2" t="inlineStr">
        <is>
          <t>Equity Scheme - Flexi Cap Fund</t>
        </is>
      </c>
      <c r="AM68" s="2" t="n">
        <v>1.76</v>
      </c>
      <c r="AN68" s="2" t="n">
        <v>0</v>
      </c>
      <c r="AO68" s="2" t="n">
        <v>0.05</v>
      </c>
      <c r="AP68" s="2" t="n">
        <v>0.07000000000000001</v>
      </c>
      <c r="AQ68" s="2" t="n">
        <v>1.88</v>
      </c>
      <c r="AR68" s="2" t="n">
        <v>0.49</v>
      </c>
      <c r="AS68" s="2" t="n">
        <v>0</v>
      </c>
      <c r="AT68" s="2" t="n">
        <v>0.05</v>
      </c>
      <c r="AU68" s="2" t="n">
        <v>0.07000000000000001</v>
      </c>
      <c r="AV68" s="2" t="n">
        <v>0.61</v>
      </c>
      <c r="AW68" s="17" t="n">
        <v>-1.041326374958482</v>
      </c>
      <c r="AX68" t="inlineStr">
        <is>
          <t>39cr</t>
        </is>
      </c>
      <c r="AY68" s="26" t="n">
        <v>0.8900349615760836</v>
      </c>
      <c r="AZ68" s="26" t="n">
        <v>1.187066464526627</v>
      </c>
      <c r="BA68" s="26" t="n">
        <v>0.4618117784855727</v>
      </c>
      <c r="BB68" s="28" t="n">
        <v>4</v>
      </c>
      <c r="BC68" t="n">
        <v>1</v>
      </c>
      <c r="BD68" t="n">
        <v>0</v>
      </c>
      <c r="BE68" t="n">
        <v>1</v>
      </c>
      <c r="BF68" t="n">
        <v>1</v>
      </c>
      <c r="BG68" t="n">
        <v>0</v>
      </c>
      <c r="BH68" t="n">
        <v>1</v>
      </c>
    </row>
    <row r="69">
      <c r="A69" s="2" t="inlineStr">
        <is>
          <t>Taurus Flexi Cap Fund</t>
        </is>
      </c>
      <c r="B69" s="2" t="inlineStr">
        <is>
          <t>flexi cap</t>
        </is>
      </c>
      <c r="C69" s="2" t="inlineStr">
        <is>
          <t>BSE 500 TRI</t>
        </is>
      </c>
      <c r="D69" s="2" t="inlineStr">
        <is>
          <t>Very High</t>
        </is>
      </c>
      <c r="E69" s="2" t="inlineStr">
        <is>
          <t>Very High</t>
        </is>
      </c>
      <c r="F69" s="10" t="n">
        <v>46023</v>
      </c>
      <c r="G69" s="2" t="n">
        <v>224.16</v>
      </c>
      <c r="H69" s="2" t="n">
        <v>233.27</v>
      </c>
      <c r="I69" s="2" t="n">
        <v>-2.2502515</v>
      </c>
      <c r="J69" s="2" t="n">
        <v>-9.5392765</v>
      </c>
      <c r="K69" s="2" t="n">
        <v>7.289025</v>
      </c>
      <c r="L69" s="2" t="n">
        <v>13.5674715</v>
      </c>
      <c r="M69" s="2" t="n">
        <v>-2.846590500000001</v>
      </c>
      <c r="N69" s="2" t="n">
        <v>16.414062</v>
      </c>
      <c r="O69" s="2" t="n">
        <v>13.319869</v>
      </c>
      <c r="P69" s="2" t="n">
        <v>-3.406568</v>
      </c>
      <c r="Q69" s="2" t="n">
        <v>16.726437</v>
      </c>
      <c r="R69" s="2" t="n">
        <v>9.9008465</v>
      </c>
      <c r="S69" s="2" t="n">
        <v>-4.888450499999999</v>
      </c>
      <c r="T69" s="2" t="n">
        <v>14.789297</v>
      </c>
      <c r="U69" s="2" t="n">
        <v>10.379038</v>
      </c>
      <c r="V69" s="2" t="n">
        <v>355.59</v>
      </c>
      <c r="W69" s="2" t="n">
        <v>-2.829281730702909</v>
      </c>
      <c r="X69" s="2" t="n">
        <v>-2.849135808412029</v>
      </c>
      <c r="Y69" s="2" t="n">
        <v>-1.121393011700522</v>
      </c>
      <c r="Z69" s="2" t="n">
        <v>-1.176093592328414</v>
      </c>
      <c r="AA69" s="2" t="n">
        <v>-0.5615461497555649</v>
      </c>
      <c r="AB69" s="2" t="n">
        <v>-0.5751771616389261</v>
      </c>
      <c r="AC69" s="2" t="n">
        <v>-0.6684695240171881</v>
      </c>
      <c r="AD69" s="2" t="n">
        <v>-0.6804390190078545</v>
      </c>
      <c r="AE69" s="2" t="n">
        <v>-2.314028</v>
      </c>
      <c r="AF69" s="2" t="n">
        <v>9.670227000000001</v>
      </c>
      <c r="AG69" s="2" t="n">
        <v>13.502595</v>
      </c>
      <c r="AH69" s="2" t="n">
        <v>13.26263</v>
      </c>
      <c r="AI69" s="2" t="n"/>
      <c r="AJ69" s="2" t="n">
        <v>14.405049</v>
      </c>
      <c r="AK69" s="2" t="n">
        <v>10.224296</v>
      </c>
      <c r="AL69" s="2" t="inlineStr">
        <is>
          <t>Equity Scheme - Flexi Cap Fund</t>
        </is>
      </c>
      <c r="AM69" s="2" t="n">
        <v>2.24</v>
      </c>
      <c r="AN69" s="2" t="n">
        <v>0</v>
      </c>
      <c r="AO69" s="2" t="n">
        <v>0.05</v>
      </c>
      <c r="AP69" s="2" t="n">
        <v>0.37</v>
      </c>
      <c r="AQ69" s="2" t="n">
        <v>2.66</v>
      </c>
      <c r="AR69" s="2" t="n">
        <v>2.14</v>
      </c>
      <c r="AS69" s="2" t="n">
        <v>0</v>
      </c>
      <c r="AT69" s="2" t="n">
        <v>0.05</v>
      </c>
      <c r="AU69" s="2" t="n">
        <v>0.37</v>
      </c>
      <c r="AV69" s="2" t="n">
        <v>2.56</v>
      </c>
      <c r="AW69" s="17" t="n">
        <v>2.328524424196414</v>
      </c>
      <c r="AX69" s="18" t="inlineStr">
        <is>
          <t>-8cr</t>
        </is>
      </c>
      <c r="AY69" s="26" t="n">
        <v>1.203080014741318</v>
      </c>
      <c r="AZ69" s="26" t="n">
        <v>1.187066464526627</v>
      </c>
      <c r="BA69" s="26" t="n">
        <v>0.4933876006174212</v>
      </c>
      <c r="BB69" s="28" t="n">
        <v>1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</row>
    <row r="70">
      <c r="A70" s="2" t="inlineStr">
        <is>
          <t>TRUSTMF Flexi Cap Fund</t>
        </is>
      </c>
      <c r="B70" s="2" t="inlineStr">
        <is>
          <t>flexi cap</t>
        </is>
      </c>
      <c r="C70" s="2" t="inlineStr">
        <is>
          <t>Nifty 500 TRI</t>
        </is>
      </c>
      <c r="D70" s="2" t="inlineStr">
        <is>
          <t>Very High</t>
        </is>
      </c>
      <c r="E70" s="2" t="inlineStr">
        <is>
          <t>Very High</t>
        </is>
      </c>
      <c r="F70" s="10" t="n">
        <v>46023</v>
      </c>
      <c r="G70" s="2" t="n">
        <v>11.57</v>
      </c>
      <c r="H70" s="2" t="n">
        <v>11.9</v>
      </c>
      <c r="I70" s="2" t="n">
        <v>-2.9363785</v>
      </c>
      <c r="J70" s="2" t="n">
        <v>-10.3554068</v>
      </c>
      <c r="K70" s="2" t="n">
        <v>7.4190283</v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>
        <v>10.875813</v>
      </c>
      <c r="V70" s="2" t="n">
        <v>1137.5</v>
      </c>
      <c r="W70" s="2" t="n">
        <v>-2.088917990354156</v>
      </c>
      <c r="X70" s="2" t="n">
        <v>-2.46791563696174</v>
      </c>
      <c r="Y70" s="2" t="n"/>
      <c r="Z70" s="2" t="n"/>
      <c r="AA70" s="2" t="n"/>
      <c r="AB70" s="2" t="n"/>
      <c r="AC70" s="2" t="n"/>
      <c r="AD70" s="2" t="n"/>
      <c r="AE70" s="2" t="n">
        <v>-4.4591246</v>
      </c>
      <c r="AF70" s="2" t="n"/>
      <c r="AG70" s="2" t="n"/>
      <c r="AH70" s="2" t="n"/>
      <c r="AI70" s="2" t="n">
        <v>9.640487</v>
      </c>
      <c r="AJ70" s="2" t="n">
        <v>9.640487</v>
      </c>
      <c r="AK70" s="2" t="n">
        <v>9.040565000000001</v>
      </c>
      <c r="AL70" s="2" t="inlineStr">
        <is>
          <t>Equity Scheme - Flexi Cap Fund</t>
        </is>
      </c>
      <c r="AM70" s="2" t="n">
        <v>2.02</v>
      </c>
      <c r="AN70" s="2" t="n">
        <v>0</v>
      </c>
      <c r="AO70" s="2" t="n">
        <v>0.05</v>
      </c>
      <c r="AP70" s="2" t="n">
        <v>0.05</v>
      </c>
      <c r="AQ70" s="2" t="n">
        <v>2.12</v>
      </c>
      <c r="AR70" s="2" t="n">
        <v>0.39</v>
      </c>
      <c r="AS70" s="2" t="n">
        <v>0</v>
      </c>
      <c r="AT70" s="2" t="n">
        <v>0.05</v>
      </c>
      <c r="AU70" s="2" t="n">
        <v>0.05</v>
      </c>
      <c r="AV70" s="2" t="n">
        <v>0.49</v>
      </c>
      <c r="AW70" s="17" t="n">
        <v>1.712527472527474</v>
      </c>
      <c r="AX70" s="18" t="inlineStr">
        <is>
          <t>-19cr</t>
        </is>
      </c>
      <c r="AY70" s="26" t="n">
        <v>1.219930970918356</v>
      </c>
      <c r="AZ70" s="26" t="n">
        <v>1.187066464526627</v>
      </c>
      <c r="BA70" s="26" t="n">
        <v>0.605578268617483</v>
      </c>
      <c r="BB70" s="28" t="n">
        <v>2</v>
      </c>
      <c r="BC70" t="n">
        <v>0</v>
      </c>
      <c r="BD70" t="n">
        <v>1</v>
      </c>
      <c r="BE70" t="n">
        <v>1</v>
      </c>
      <c r="BF70" t="n">
        <v>0</v>
      </c>
      <c r="BG70" t="n">
        <v>0</v>
      </c>
      <c r="BH70" t="n">
        <v>0</v>
      </c>
    </row>
    <row r="71">
      <c r="A71" s="2" t="inlineStr">
        <is>
          <t>Unifi Flexi Cap Fund</t>
        </is>
      </c>
      <c r="B71" s="2" t="inlineStr">
        <is>
          <t>flexi cap</t>
        </is>
      </c>
      <c r="C71" s="2" t="inlineStr">
        <is>
          <t>Nifty 500 TRI</t>
        </is>
      </c>
      <c r="D71" s="2" t="inlineStr">
        <is>
          <t>Very High</t>
        </is>
      </c>
      <c r="E71" s="2" t="inlineStr">
        <is>
          <t>Very High</t>
        </is>
      </c>
      <c r="F71" s="10" t="n">
        <v>46023</v>
      </c>
      <c r="G71" s="2" t="n">
        <v>10.3475</v>
      </c>
      <c r="H71" s="2" t="n">
        <v>10.4253</v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inlineStr">
        <is>
          <t>174.49^</t>
        </is>
      </c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inlineStr">
        <is>
          <t>Equity Scheme - Flexi Cap Fund</t>
        </is>
      </c>
      <c r="AM71" s="2" t="n">
        <v>2.25</v>
      </c>
      <c r="AN71" s="2" t="n">
        <v>0</v>
      </c>
      <c r="AO71" s="2" t="n">
        <v>0</v>
      </c>
      <c r="AP71" s="2" t="n">
        <v>0.13</v>
      </c>
      <c r="AQ71" s="2" t="n">
        <v>2.38</v>
      </c>
      <c r="AR71" s="2" t="n">
        <v>0.95</v>
      </c>
      <c r="AS71" s="2" t="n">
        <v>0</v>
      </c>
      <c r="AT71" s="2" t="n">
        <v>0</v>
      </c>
      <c r="AU71" s="2" t="n">
        <v>0.13</v>
      </c>
      <c r="AV71" s="2" t="n">
        <v>1.08</v>
      </c>
      <c r="AY71" s="26" t="n">
        <v>1.086372827938172</v>
      </c>
      <c r="AZ71" s="26" t="n">
        <v>1.187066464526627</v>
      </c>
      <c r="BA71" s="26" t="n">
        <v>0.4530370841153137</v>
      </c>
      <c r="BB71" s="28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</row>
    <row r="72">
      <c r="A72" s="2" t="inlineStr">
        <is>
          <t>Union Flexi Cap Fund</t>
        </is>
      </c>
      <c r="B72" s="2" t="inlineStr">
        <is>
          <t>flexi cap</t>
        </is>
      </c>
      <c r="C72" s="2" t="inlineStr">
        <is>
          <t>BSE 500 TRI</t>
        </is>
      </c>
      <c r="D72" s="2" t="inlineStr">
        <is>
          <t>Very High</t>
        </is>
      </c>
      <c r="E72" s="2" t="inlineStr">
        <is>
          <t>Very High</t>
        </is>
      </c>
      <c r="F72" s="10" t="n">
        <v>46023</v>
      </c>
      <c r="G72" s="2" t="n">
        <v>52.16</v>
      </c>
      <c r="H72" s="2" t="n">
        <v>58.37</v>
      </c>
      <c r="I72" s="2" t="n">
        <v>3.8981843</v>
      </c>
      <c r="J72" s="2" t="n">
        <v>-3.3908407</v>
      </c>
      <c r="K72" s="2" t="n">
        <v>7.289025</v>
      </c>
      <c r="L72" s="2" t="n">
        <v>16.689116</v>
      </c>
      <c r="M72" s="2" t="n">
        <v>0.2750539999999972</v>
      </c>
      <c r="N72" s="2" t="n">
        <v>16.414062</v>
      </c>
      <c r="O72" s="2" t="n">
        <v>17.010336</v>
      </c>
      <c r="P72" s="2" t="n">
        <v>0.2838989999999981</v>
      </c>
      <c r="Q72" s="2" t="n">
        <v>16.726437</v>
      </c>
      <c r="R72" s="2" t="n">
        <v>14.329639</v>
      </c>
      <c r="S72" s="2" t="n">
        <v>-0.4596579999999992</v>
      </c>
      <c r="T72" s="2" t="n">
        <v>14.789297</v>
      </c>
      <c r="U72" s="2" t="n">
        <v>13.776856</v>
      </c>
      <c r="V72" s="2" t="n">
        <v>2405.39</v>
      </c>
      <c r="W72" s="2" t="n">
        <v>-1.400588096926046</v>
      </c>
      <c r="X72" s="2" t="n">
        <v>-1.866125231912234</v>
      </c>
      <c r="Y72" s="2" t="n">
        <v>-0.1689200108567597</v>
      </c>
      <c r="Z72" s="2" t="n">
        <v>-0.4481317892177141</v>
      </c>
      <c r="AA72" s="2" t="n">
        <v>0.06253285446972984</v>
      </c>
      <c r="AB72" s="2" t="n">
        <v>-0.3490809230380857</v>
      </c>
      <c r="AC72" s="2" t="n">
        <v>0.04438338613003175</v>
      </c>
      <c r="AD72" s="2" t="n">
        <v>-0.3197027699977076</v>
      </c>
      <c r="AE72" s="2" t="n">
        <v>2.7580771</v>
      </c>
      <c r="AF72" s="2" t="n">
        <v>13.306313</v>
      </c>
      <c r="AG72" s="2" t="n">
        <v>15.378187</v>
      </c>
      <c r="AH72" s="2" t="n">
        <v>15.743865</v>
      </c>
      <c r="AI72" s="2" t="n">
        <v>13.533304</v>
      </c>
      <c r="AJ72" s="2" t="n">
        <v>14.461893</v>
      </c>
      <c r="AK72" s="2" t="n">
        <v>12.001821</v>
      </c>
      <c r="AL72" s="2" t="inlineStr">
        <is>
          <t>Equity Scheme - Flexi Cap Fund</t>
        </is>
      </c>
      <c r="AM72" s="2" t="n">
        <v>1.86</v>
      </c>
      <c r="AN72" s="2" t="n">
        <v>0</v>
      </c>
      <c r="AO72" s="2" t="n">
        <v>0.05</v>
      </c>
      <c r="AP72" s="2" t="n">
        <v>0.12</v>
      </c>
      <c r="AQ72" s="2" t="n">
        <v>2.03</v>
      </c>
      <c r="AR72" s="2" t="n">
        <v>0.77</v>
      </c>
      <c r="AS72" s="2" t="n">
        <v>0</v>
      </c>
      <c r="AT72" s="2" t="n">
        <v>0.05</v>
      </c>
      <c r="AU72" s="2" t="n">
        <v>0.12</v>
      </c>
      <c r="AV72" s="2" t="n">
        <v>0.9399999999999999</v>
      </c>
      <c r="AW72" s="17" t="n">
        <v>0.4839132115790091</v>
      </c>
      <c r="AX72" s="18" t="inlineStr">
        <is>
          <t>-12cr</t>
        </is>
      </c>
      <c r="AY72" s="26" t="n">
        <v>0.8949339229693255</v>
      </c>
      <c r="AZ72" s="26" t="n">
        <v>1.187066464526627</v>
      </c>
      <c r="BA72" s="26" t="n">
        <v>0.5357951294858239</v>
      </c>
      <c r="BB72" s="28" t="n">
        <v>2</v>
      </c>
      <c r="BC72" t="n">
        <v>0</v>
      </c>
      <c r="BD72" t="n">
        <v>1</v>
      </c>
      <c r="BE72" t="n">
        <v>0</v>
      </c>
      <c r="BF72" t="n">
        <v>0</v>
      </c>
      <c r="BG72" t="n">
        <v>0</v>
      </c>
      <c r="BH72" t="n">
        <v>1</v>
      </c>
    </row>
    <row r="73">
      <c r="A73" s="2" t="inlineStr">
        <is>
          <t>WhiteOak Capital Flexi Cap Fund</t>
        </is>
      </c>
      <c r="B73" s="2" t="inlineStr">
        <is>
          <t>flexi cap</t>
        </is>
      </c>
      <c r="C73" s="2" t="inlineStr">
        <is>
          <t>BSE 500 TRI</t>
        </is>
      </c>
      <c r="D73" s="2" t="inlineStr">
        <is>
          <t>Very High</t>
        </is>
      </c>
      <c r="E73" s="2" t="inlineStr">
        <is>
          <t>Very High</t>
        </is>
      </c>
      <c r="F73" s="10" t="n">
        <v>46023</v>
      </c>
      <c r="G73" s="2" t="n">
        <v>17.752</v>
      </c>
      <c r="H73" s="2" t="n">
        <v>18.672</v>
      </c>
      <c r="I73" s="2" t="n">
        <v>5.4260063</v>
      </c>
      <c r="J73" s="2" t="n">
        <v>-1.8630187</v>
      </c>
      <c r="K73" s="2" t="n">
        <v>7.289025</v>
      </c>
      <c r="L73" s="2" t="n">
        <v>21.054926</v>
      </c>
      <c r="M73" s="2" t="n">
        <v>4.640863999999997</v>
      </c>
      <c r="N73" s="2" t="n">
        <v>16.414062</v>
      </c>
      <c r="O73" s="2" t="n"/>
      <c r="P73" s="2" t="n"/>
      <c r="Q73" s="2" t="n"/>
      <c r="R73" s="2" t="n"/>
      <c r="S73" s="2" t="n"/>
      <c r="T73" s="2" t="n"/>
      <c r="U73" s="2" t="n">
        <v>20.036861</v>
      </c>
      <c r="V73" s="2" t="n">
        <v>7111.7</v>
      </c>
      <c r="W73" s="2" t="n">
        <v>-0.5901767161426064</v>
      </c>
      <c r="X73" s="2" t="n">
        <v>-1.041191116067037</v>
      </c>
      <c r="Y73" s="2" t="n"/>
      <c r="Z73" s="2" t="n"/>
      <c r="AA73" s="2" t="n">
        <v>1.221733124872856</v>
      </c>
      <c r="AB73" s="2" t="n">
        <v>0.7578645379207746</v>
      </c>
      <c r="AC73" s="2" t="n"/>
      <c r="AD73" s="2" t="n"/>
      <c r="AE73" s="2" t="n">
        <v>4.0257835</v>
      </c>
      <c r="AF73" s="2" t="n"/>
      <c r="AG73" s="2" t="n">
        <v>19.295794</v>
      </c>
      <c r="AH73" s="2" t="n"/>
      <c r="AI73" s="2" t="n">
        <v>15.72692</v>
      </c>
      <c r="AJ73" s="2" t="n">
        <v>15.72692</v>
      </c>
      <c r="AK73" s="2" t="n">
        <v>18.276058</v>
      </c>
      <c r="AL73" s="2" t="inlineStr">
        <is>
          <t>Equity Scheme - Flexi Cap Fund</t>
        </is>
      </c>
      <c r="AM73" s="2" t="n">
        <v>1.66</v>
      </c>
      <c r="AN73" s="2" t="n">
        <v>0</v>
      </c>
      <c r="AO73" s="2" t="n">
        <v>0.05</v>
      </c>
      <c r="AP73" s="2" t="n">
        <v>0.06</v>
      </c>
      <c r="AQ73" s="2" t="n">
        <v>1.77</v>
      </c>
      <c r="AR73" s="2" t="n">
        <v>0.4</v>
      </c>
      <c r="AS73" s="2" t="n">
        <v>0</v>
      </c>
      <c r="AT73" s="2" t="n">
        <v>0.05</v>
      </c>
      <c r="AU73" s="2" t="n">
        <v>0.06</v>
      </c>
      <c r="AV73" s="2" t="n">
        <v>0.51</v>
      </c>
      <c r="AW73" s="17" t="n">
        <v>-3.478633800638377</v>
      </c>
      <c r="AX73" t="inlineStr">
        <is>
          <t>247cr</t>
        </is>
      </c>
      <c r="AY73" s="26" t="n">
        <v>1.407407732071464</v>
      </c>
      <c r="AZ73" s="26" t="n">
        <v>1.187066464526627</v>
      </c>
      <c r="BA73" s="26" t="n">
        <v>0.4749944394628796</v>
      </c>
      <c r="BB73" s="28" t="n">
        <v>2</v>
      </c>
      <c r="BC73" t="n">
        <v>1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</row>
    <row r="74">
      <c r="A74" s="15" t="inlineStr">
        <is>
          <t>category_avg_flexicap</t>
        </is>
      </c>
      <c r="B74" s="15" t="n"/>
      <c r="C74" s="15" t="n"/>
      <c r="D74" s="15" t="n"/>
      <c r="E74" s="15" t="n"/>
      <c r="F74" s="16" t="n"/>
      <c r="G74" s="15" t="n"/>
      <c r="H74" s="15" t="n"/>
      <c r="I74" s="27" t="n">
        <v>4.598578685714286</v>
      </c>
      <c r="K74" s="27" t="n">
        <v>7.377241525000001</v>
      </c>
      <c r="L74" s="27" t="n">
        <v>18.97868247727273</v>
      </c>
      <c r="N74" s="27" t="n">
        <v>16.61016827272727</v>
      </c>
      <c r="O74" s="27" t="n">
        <v>17.51016159375</v>
      </c>
      <c r="Q74" s="27" t="n">
        <v>16.7692545</v>
      </c>
      <c r="R74" s="27" t="n">
        <v>14.87965104545455</v>
      </c>
      <c r="T74" s="27" t="n">
        <v>14.75343281818182</v>
      </c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>
        <f>AVERAGE(AA44:AA73)</f>
        <v/>
      </c>
      <c r="AF74" s="15">
        <f>AVERAGE(AB44:AB73)</f>
        <v/>
      </c>
      <c r="AG74" s="15">
        <f>AVERAGE(AC44:AC73)</f>
        <v/>
      </c>
      <c r="AH74" s="15">
        <f>AVERAGE(AD44:AD73)</f>
        <v/>
      </c>
      <c r="AI74" s="15">
        <f>AVERAGE(AE44:AE73)</f>
        <v/>
      </c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  <c r="AS74" s="15" t="n"/>
      <c r="AT74" s="15" t="n"/>
      <c r="AU74" s="15" t="n"/>
      <c r="AV74" s="25" t="n">
        <v>0.7385</v>
      </c>
      <c r="AZ74" s="26" t="n">
        <v>1.187066450003609</v>
      </c>
    </row>
    <row r="75">
      <c r="A75" s="3" t="inlineStr">
        <is>
          <t>Aditya Birla Sun Life Large &amp; Mid Cap Fund</t>
        </is>
      </c>
      <c r="B75" s="3" t="inlineStr">
        <is>
          <t>large and mid cap</t>
        </is>
      </c>
      <c r="C75" s="3" t="inlineStr">
        <is>
          <t>Nifty LargeMidcap 250 TRI</t>
        </is>
      </c>
      <c r="D75" s="3" t="inlineStr">
        <is>
          <t>Very High</t>
        </is>
      </c>
      <c r="E75" s="3" t="inlineStr">
        <is>
          <t>Very High</t>
        </is>
      </c>
      <c r="F75" s="11" t="n">
        <v>46023</v>
      </c>
      <c r="G75" s="3" t="n">
        <v>920.37</v>
      </c>
      <c r="H75" s="3" t="n">
        <v>1027.31</v>
      </c>
      <c r="I75" s="3" t="n">
        <v>4.397179</v>
      </c>
      <c r="J75" s="3" t="n">
        <v>-3.599430699999999</v>
      </c>
      <c r="K75" s="3" t="n">
        <v>7.9966097</v>
      </c>
      <c r="L75" s="3" t="n">
        <v>16.061169</v>
      </c>
      <c r="M75" s="3" t="n">
        <v>-3.415792</v>
      </c>
      <c r="N75" s="3" t="n">
        <v>19.476961</v>
      </c>
      <c r="O75" s="3" t="n">
        <v>13.790999</v>
      </c>
      <c r="P75" s="3" t="n">
        <v>-5.605903000000001</v>
      </c>
      <c r="Q75" s="3" t="n">
        <v>19.396902</v>
      </c>
      <c r="R75" s="3" t="n">
        <v>13.144407</v>
      </c>
      <c r="S75" s="3" t="n">
        <v>-3.098582000000002</v>
      </c>
      <c r="T75" s="3" t="n">
        <v>16.242989</v>
      </c>
      <c r="U75" s="3" t="n">
        <v>15.097502</v>
      </c>
      <c r="V75" s="3" t="n">
        <v>5817.78</v>
      </c>
      <c r="W75" s="3" t="n">
        <v>-1.240783307653694</v>
      </c>
      <c r="X75" s="3" t="n">
        <v>-1.52627368803929</v>
      </c>
      <c r="Y75" s="3" t="n">
        <v>-0.652630757723796</v>
      </c>
      <c r="Z75" s="3" t="n">
        <v>-0.8906867511254166</v>
      </c>
      <c r="AA75" s="3" t="n">
        <v>-1.025142125493926</v>
      </c>
      <c r="AB75" s="3" t="n">
        <v>-1.309083547087047</v>
      </c>
      <c r="AC75" s="3" t="n">
        <v>-1.30151238917301</v>
      </c>
      <c r="AD75" s="3" t="n">
        <v>-1.52642768927052</v>
      </c>
      <c r="AE75" s="3" t="n">
        <v>3.5846126</v>
      </c>
      <c r="AF75" s="3" t="n">
        <v>12.074685</v>
      </c>
      <c r="AG75" s="3" t="n">
        <v>15.13334</v>
      </c>
      <c r="AH75" s="3" t="n">
        <v>12.855934</v>
      </c>
      <c r="AI75" s="3" t="n"/>
      <c r="AJ75" s="3" t="n">
        <v>16.312363</v>
      </c>
      <c r="AK75" s="3" t="n">
        <v>16.479473</v>
      </c>
      <c r="AL75" s="3" t="inlineStr">
        <is>
          <t>Equity Scheme - Large &amp; Mid Cap Fund</t>
        </is>
      </c>
      <c r="AM75" s="3" t="n">
        <v>1.7</v>
      </c>
      <c r="AN75" s="3" t="n">
        <v>0</v>
      </c>
      <c r="AO75" s="3" t="n">
        <v>0.05</v>
      </c>
      <c r="AP75" s="3" t="n">
        <v>0.16</v>
      </c>
      <c r="AQ75" s="3" t="n">
        <v>1.9</v>
      </c>
      <c r="AR75" s="3" t="n">
        <v>0.89</v>
      </c>
      <c r="AS75" s="3" t="n">
        <v>0</v>
      </c>
      <c r="AT75" s="3" t="n">
        <v>0.05</v>
      </c>
      <c r="AU75" s="3" t="n">
        <v>0.16</v>
      </c>
      <c r="AV75" s="3" t="n">
        <v>1.09</v>
      </c>
      <c r="AW75" s="17" t="n">
        <v>0.3047554221713519</v>
      </c>
      <c r="AX75" s="18" t="inlineStr">
        <is>
          <t>-18cr</t>
        </is>
      </c>
      <c r="AY75" s="26" t="n">
        <v>0.9645788700249363</v>
      </c>
      <c r="AZ75" s="26" t="n">
        <v>1.315811393343106</v>
      </c>
      <c r="BA75" s="26" t="n">
        <v>0.5055518837475754</v>
      </c>
      <c r="BB75" s="28" t="n">
        <v>2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1</v>
      </c>
    </row>
    <row r="76">
      <c r="A76" s="3" t="inlineStr">
        <is>
          <t>Axis Large &amp; Mid Cap Fund</t>
        </is>
      </c>
      <c r="B76" s="3" t="inlineStr">
        <is>
          <t>large and mid cap</t>
        </is>
      </c>
      <c r="C76" s="3" t="inlineStr">
        <is>
          <t>Nifty LargeMidcap 250 TRI</t>
        </is>
      </c>
      <c r="D76" s="3" t="inlineStr">
        <is>
          <t>Very High</t>
        </is>
      </c>
      <c r="E76" s="3" t="inlineStr">
        <is>
          <t>Very High</t>
        </is>
      </c>
      <c r="F76" s="11" t="n">
        <v>46023</v>
      </c>
      <c r="G76" s="3" t="n">
        <v>33.41</v>
      </c>
      <c r="H76" s="3" t="n">
        <v>36.99</v>
      </c>
      <c r="I76" s="3" t="n">
        <v>5.0852275</v>
      </c>
      <c r="J76" s="3" t="n">
        <v>-2.911382199999999</v>
      </c>
      <c r="K76" s="3" t="n">
        <v>7.9966097</v>
      </c>
      <c r="L76" s="3" t="n">
        <v>20.994604</v>
      </c>
      <c r="M76" s="3" t="n">
        <v>1.517643</v>
      </c>
      <c r="N76" s="3" t="n">
        <v>19.476961</v>
      </c>
      <c r="O76" s="3" t="n">
        <v>18.989641</v>
      </c>
      <c r="P76" s="3" t="n">
        <v>-0.4072610000000019</v>
      </c>
      <c r="Q76" s="3" t="n">
        <v>19.396902</v>
      </c>
      <c r="R76" s="3" t="n"/>
      <c r="S76" s="3" t="n"/>
      <c r="T76" s="3" t="n"/>
      <c r="U76" s="3" t="n">
        <v>19.92248</v>
      </c>
      <c r="V76" s="3" t="n">
        <v>15611.58</v>
      </c>
      <c r="W76" s="3" t="n">
        <v>-0.9451914539384209</v>
      </c>
      <c r="X76" s="3" t="n">
        <v>-1.305511288683719</v>
      </c>
      <c r="Y76" s="3" t="n"/>
      <c r="Z76" s="3" t="n"/>
      <c r="AA76" s="3" t="n">
        <v>0.2404342749768157</v>
      </c>
      <c r="AB76" s="3" t="n">
        <v>-0.007739365366922736</v>
      </c>
      <c r="AC76" s="3" t="n">
        <v>-0.09470992168124562</v>
      </c>
      <c r="AD76" s="3" t="n">
        <v>-0.3115309478520323</v>
      </c>
      <c r="AE76" s="3" t="n">
        <v>3.9514623</v>
      </c>
      <c r="AF76" s="3" t="n"/>
      <c r="AG76" s="3" t="n">
        <v>19.64167</v>
      </c>
      <c r="AH76" s="3" t="n">
        <v>17.500952</v>
      </c>
      <c r="AI76" s="3" t="n">
        <v>18.482866</v>
      </c>
      <c r="AJ76" s="3" t="n">
        <v>18.482866</v>
      </c>
      <c r="AK76" s="3" t="n">
        <v>18.238966</v>
      </c>
      <c r="AL76" s="3" t="inlineStr">
        <is>
          <t>Equity Scheme - Large &amp; Mid Cap Fund</t>
        </is>
      </c>
      <c r="AM76" s="3" t="n">
        <v>1.55</v>
      </c>
      <c r="AN76" s="3" t="n">
        <v>0</v>
      </c>
      <c r="AO76" s="3" t="n">
        <v>0.05</v>
      </c>
      <c r="AP76" s="3" t="n">
        <v>0.08</v>
      </c>
      <c r="AQ76" s="3" t="n">
        <v>1.68</v>
      </c>
      <c r="AR76" s="3" t="n">
        <v>0.46</v>
      </c>
      <c r="AS76" s="3" t="n">
        <v>0</v>
      </c>
      <c r="AT76" s="3" t="n">
        <v>0.05</v>
      </c>
      <c r="AU76" s="3" t="n">
        <v>0.08</v>
      </c>
      <c r="AV76" s="3" t="n">
        <v>0.59</v>
      </c>
      <c r="AW76" s="17" t="n">
        <v>-0.03849706435863774</v>
      </c>
      <c r="AX76" t="inlineStr">
        <is>
          <t>6cr</t>
        </is>
      </c>
      <c r="AY76" s="26" t="n">
        <v>0.9813195240252421</v>
      </c>
      <c r="AZ76" s="26" t="n">
        <v>1.315811393343106</v>
      </c>
      <c r="BA76" s="26" t="n">
        <v>0.5298227876661382</v>
      </c>
      <c r="BB76" s="28" t="n">
        <v>2</v>
      </c>
      <c r="BC76" t="n">
        <v>0</v>
      </c>
      <c r="BD76" t="n">
        <v>0</v>
      </c>
      <c r="BE76" t="n">
        <v>1</v>
      </c>
      <c r="BF76" t="n">
        <v>0</v>
      </c>
      <c r="BG76" t="n">
        <v>0</v>
      </c>
      <c r="BH76" t="n">
        <v>1</v>
      </c>
    </row>
    <row r="77">
      <c r="A77" s="3" t="inlineStr">
        <is>
          <t>Bajaj Finserv Large and Mid Cap Fund</t>
        </is>
      </c>
      <c r="B77" s="3" t="inlineStr">
        <is>
          <t>large and mid cap</t>
        </is>
      </c>
      <c r="C77" s="3" t="inlineStr">
        <is>
          <t>Nifty LargeMidcap 250 TRI</t>
        </is>
      </c>
      <c r="D77" s="3" t="inlineStr">
        <is>
          <t>Very High</t>
        </is>
      </c>
      <c r="E77" s="3" t="inlineStr">
        <is>
          <t>Very High</t>
        </is>
      </c>
      <c r="F77" s="11" t="n">
        <v>46023</v>
      </c>
      <c r="G77" s="3" t="n">
        <v>12.604</v>
      </c>
      <c r="H77" s="3" t="n">
        <v>12.951</v>
      </c>
      <c r="I77" s="3" t="n">
        <v>6.6276965</v>
      </c>
      <c r="J77" s="3" t="n">
        <v>-1.3689132</v>
      </c>
      <c r="K77" s="3" t="n">
        <v>7.9966097</v>
      </c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>
        <v>15.031576</v>
      </c>
      <c r="V77" s="3" t="n">
        <v>2350.03</v>
      </c>
      <c r="W77" s="3" t="n">
        <v>-0.4115436876144121</v>
      </c>
      <c r="X77" s="3" t="n">
        <v>-0.784554450694021</v>
      </c>
      <c r="Y77" s="3" t="n"/>
      <c r="Z77" s="3" t="n"/>
      <c r="AA77" s="3" t="n"/>
      <c r="AB77" s="3" t="n"/>
      <c r="AC77" s="3" t="n"/>
      <c r="AD77" s="3" t="n"/>
      <c r="AE77" s="3" t="n">
        <v>5.129702</v>
      </c>
      <c r="AF77" s="3" t="n"/>
      <c r="AG77" s="3" t="n"/>
      <c r="AH77" s="3" t="n"/>
      <c r="AI77" s="3" t="n">
        <v>11.736026</v>
      </c>
      <c r="AJ77" s="3" t="n">
        <v>11.736026</v>
      </c>
      <c r="AK77" s="3" t="n">
        <v>13.352113</v>
      </c>
      <c r="AL77" s="3" t="inlineStr">
        <is>
          <t>Equity Scheme - Large &amp; Mid Cap Fund</t>
        </is>
      </c>
      <c r="AM77" s="3" t="n">
        <v>1.87</v>
      </c>
      <c r="AN77" s="3" t="n">
        <v>0</v>
      </c>
      <c r="AO77" s="3" t="n">
        <v>0.05</v>
      </c>
      <c r="AP77" s="3" t="n">
        <v>0.06</v>
      </c>
      <c r="AQ77" s="3" t="n">
        <v>1.98</v>
      </c>
      <c r="AR77" s="3" t="n">
        <v>0.48</v>
      </c>
      <c r="AS77" s="3" t="n">
        <v>0</v>
      </c>
      <c r="AT77" s="3" t="n">
        <v>0.05</v>
      </c>
      <c r="AU77" s="3" t="n">
        <v>0.06</v>
      </c>
      <c r="AV77" s="3" t="n">
        <v>0.59</v>
      </c>
      <c r="AW77" s="17" t="n">
        <v>-1.96423024386924</v>
      </c>
      <c r="AX77" t="inlineStr">
        <is>
          <t>46cr</t>
        </is>
      </c>
      <c r="AY77" s="26" t="n">
        <v>1.67583576347983</v>
      </c>
      <c r="AZ77" s="26" t="n">
        <v>1.315811393343106</v>
      </c>
      <c r="BA77" s="26" t="n">
        <v>0.5173367357758596</v>
      </c>
      <c r="BB77" s="28" t="n">
        <v>2</v>
      </c>
      <c r="BC77" t="n">
        <v>1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</row>
    <row r="78">
      <c r="A78" s="3" t="inlineStr">
        <is>
          <t>Bandhan Large &amp; Mid Cap Fund</t>
        </is>
      </c>
      <c r="B78" s="3" t="inlineStr">
        <is>
          <t>large and mid cap</t>
        </is>
      </c>
      <c r="C78" s="3" t="inlineStr">
        <is>
          <t>Nifty LargeMidcap 250 TRI</t>
        </is>
      </c>
      <c r="D78" s="3" t="inlineStr">
        <is>
          <t>Very High</t>
        </is>
      </c>
      <c r="E78" s="3" t="inlineStr">
        <is>
          <t>Very High</t>
        </is>
      </c>
      <c r="F78" s="11" t="n">
        <v>46023</v>
      </c>
      <c r="G78" s="3" t="n">
        <v>139.82</v>
      </c>
      <c r="H78" s="3" t="n">
        <v>163.836</v>
      </c>
      <c r="I78" s="3" t="n">
        <v>8.313445</v>
      </c>
      <c r="J78" s="3" t="n">
        <v>0.3168353000000002</v>
      </c>
      <c r="K78" s="3" t="n">
        <v>7.9966097</v>
      </c>
      <c r="L78" s="3" t="n">
        <v>24.948095</v>
      </c>
      <c r="M78" s="3" t="n">
        <v>5.471133999999999</v>
      </c>
      <c r="N78" s="3" t="n">
        <v>19.476961</v>
      </c>
      <c r="O78" s="3" t="n">
        <v>23.290237</v>
      </c>
      <c r="P78" s="3" t="n">
        <v>3.893335</v>
      </c>
      <c r="Q78" s="3" t="n">
        <v>19.396902</v>
      </c>
      <c r="R78" s="3" t="n">
        <v>17.59415</v>
      </c>
      <c r="S78" s="3" t="n">
        <v>1.351160999999998</v>
      </c>
      <c r="T78" s="3" t="n">
        <v>16.242989</v>
      </c>
      <c r="U78" s="3" t="n">
        <v>16.317665</v>
      </c>
      <c r="V78" s="3" t="n">
        <v>13677.75</v>
      </c>
      <c r="W78" s="3" t="n">
        <v>0.06533115456811291</v>
      </c>
      <c r="X78" s="3" t="n">
        <v>-0.3678833671916363</v>
      </c>
      <c r="Y78" s="3" t="n">
        <v>0.3378196299381892</v>
      </c>
      <c r="Z78" s="3" t="n">
        <v>-0.05714961465536671</v>
      </c>
      <c r="AA78" s="3" t="n">
        <v>1.550558883093532</v>
      </c>
      <c r="AB78" s="3" t="n">
        <v>1.142573851743876</v>
      </c>
      <c r="AC78" s="3" t="n">
        <v>1.04149208819813</v>
      </c>
      <c r="AD78" s="3" t="n">
        <v>0.6563590125290383</v>
      </c>
      <c r="AE78" s="3" t="n">
        <v>7.0630035</v>
      </c>
      <c r="AF78" s="3" t="n">
        <v>16.061823</v>
      </c>
      <c r="AG78" s="3" t="n">
        <v>23.503574</v>
      </c>
      <c r="AH78" s="3" t="n">
        <v>21.847345</v>
      </c>
      <c r="AI78" s="3" t="n">
        <v>15.429194</v>
      </c>
      <c r="AJ78" s="3" t="n">
        <v>16.312363</v>
      </c>
      <c r="AK78" s="3" t="n">
        <v>13.795531</v>
      </c>
      <c r="AL78" s="3" t="inlineStr">
        <is>
          <t>Equity Scheme - Large &amp; Mid Cap Fund</t>
        </is>
      </c>
      <c r="AM78" s="3" t="n">
        <v>1.57</v>
      </c>
      <c r="AN78" s="3" t="n">
        <v>0</v>
      </c>
      <c r="AO78" s="3" t="n">
        <v>0.05</v>
      </c>
      <c r="AP78" s="3" t="n">
        <v>0.07000000000000001</v>
      </c>
      <c r="AQ78" s="3" t="n">
        <v>1.69</v>
      </c>
      <c r="AR78" s="3" t="n">
        <v>0.41</v>
      </c>
      <c r="AS78" s="3" t="n">
        <v>0</v>
      </c>
      <c r="AT78" s="3" t="n">
        <v>0.05</v>
      </c>
      <c r="AU78" s="3" t="n">
        <v>0.07000000000000001</v>
      </c>
      <c r="AV78" s="3" t="n">
        <v>0.53</v>
      </c>
      <c r="AW78" s="17" t="n">
        <v>-6.512767085229656</v>
      </c>
      <c r="AX78" t="inlineStr">
        <is>
          <t>891cr</t>
        </is>
      </c>
      <c r="AY78" s="26" t="n">
        <v>1.463171277836397</v>
      </c>
      <c r="AZ78" s="26" t="n">
        <v>1.315811393343106</v>
      </c>
      <c r="BA78" s="26" t="n">
        <v>0.5321880854930183</v>
      </c>
      <c r="BB78" s="28" t="n">
        <v>3</v>
      </c>
      <c r="BC78" t="n">
        <v>1</v>
      </c>
      <c r="BD78" t="n">
        <v>0</v>
      </c>
      <c r="BE78" t="n">
        <v>1</v>
      </c>
      <c r="BF78" t="n">
        <v>1</v>
      </c>
      <c r="BG78" t="n">
        <v>0</v>
      </c>
      <c r="BH78" t="n">
        <v>0</v>
      </c>
    </row>
    <row r="79">
      <c r="A79" s="3" t="inlineStr">
        <is>
          <t>Bank of India Large &amp; Mid Cap Fund</t>
        </is>
      </c>
      <c r="B79" s="3" t="inlineStr">
        <is>
          <t>large and mid cap</t>
        </is>
      </c>
      <c r="C79" s="3" t="inlineStr">
        <is>
          <t>BSE 250 Large MidCap TRI</t>
        </is>
      </c>
      <c r="D79" s="3" t="inlineStr">
        <is>
          <t>Very High</t>
        </is>
      </c>
      <c r="E79" s="3" t="inlineStr">
        <is>
          <t>Very High</t>
        </is>
      </c>
      <c r="F79" s="11" t="n">
        <v>46023</v>
      </c>
      <c r="G79" s="3" t="n">
        <v>92.31999999999999</v>
      </c>
      <c r="H79" s="3" t="n">
        <v>106.69</v>
      </c>
      <c r="I79" s="3" t="n">
        <v>7.974901</v>
      </c>
      <c r="J79" s="3" t="n">
        <v>-0.7909390000000007</v>
      </c>
      <c r="K79" s="3" t="n">
        <v>8.765840000000001</v>
      </c>
      <c r="L79" s="3" t="n">
        <v>18.627594</v>
      </c>
      <c r="M79" s="3" t="n">
        <v>2.507117999999998</v>
      </c>
      <c r="N79" s="3" t="n">
        <v>16.120476</v>
      </c>
      <c r="O79" s="3" t="n">
        <v>18.256716</v>
      </c>
      <c r="P79" s="3" t="n">
        <v>1.902136000000002</v>
      </c>
      <c r="Q79" s="3" t="n">
        <v>16.35458</v>
      </c>
      <c r="R79" s="3" t="n">
        <v>14.353851</v>
      </c>
      <c r="S79" s="3" t="n">
        <v>-0.4581009999999992</v>
      </c>
      <c r="T79" s="3" t="n">
        <v>14.811952</v>
      </c>
      <c r="U79" s="3" t="n">
        <v>14.40315</v>
      </c>
      <c r="V79" s="3" t="n">
        <v>458.13</v>
      </c>
      <c r="W79" s="3" t="n">
        <v>-0.06707093693844572</v>
      </c>
      <c r="X79" s="3" t="n">
        <v>-0.3057023166728204</v>
      </c>
      <c r="Y79" s="3" t="n">
        <v>-0.0621894775385462</v>
      </c>
      <c r="Z79" s="3" t="n">
        <v>-0.2673475349471807</v>
      </c>
      <c r="AA79" s="3" t="n">
        <v>0.4847777229520037</v>
      </c>
      <c r="AB79" s="3" t="n">
        <v>0.2615982390955972</v>
      </c>
      <c r="AC79" s="3" t="n">
        <v>0.3439749659402533</v>
      </c>
      <c r="AD79" s="3" t="n">
        <v>0.1325283061767453</v>
      </c>
      <c r="AE79" s="3" t="n">
        <v>6.5804663</v>
      </c>
      <c r="AF79" s="3" t="n">
        <v>13.057965</v>
      </c>
      <c r="AG79" s="3" t="n">
        <v>17.324436</v>
      </c>
      <c r="AH79" s="3" t="n">
        <v>16.994484</v>
      </c>
      <c r="AI79" s="3" t="n">
        <v>15.478582</v>
      </c>
      <c r="AJ79" s="3" t="n">
        <v>14.442643</v>
      </c>
      <c r="AK79" s="3" t="n">
        <v>13.787627</v>
      </c>
      <c r="AL79" s="3" t="inlineStr">
        <is>
          <t>Equity Scheme - Large &amp; Mid Cap Fund</t>
        </is>
      </c>
      <c r="AM79" s="3" t="n">
        <v>2.25</v>
      </c>
      <c r="AN79" s="3" t="n">
        <v>0</v>
      </c>
      <c r="AO79" s="3" t="n">
        <v>0.05</v>
      </c>
      <c r="AP79" s="3" t="n">
        <v>0.18</v>
      </c>
      <c r="AQ79" s="3" t="n">
        <v>2.48</v>
      </c>
      <c r="AR79" s="3" t="n">
        <v>1</v>
      </c>
      <c r="AS79" s="3" t="n">
        <v>0</v>
      </c>
      <c r="AT79" s="3" t="n">
        <v>0.05</v>
      </c>
      <c r="AU79" s="3" t="n">
        <v>0.17</v>
      </c>
      <c r="AV79" s="3" t="n">
        <v>1.22</v>
      </c>
      <c r="AW79" s="17" t="n">
        <v>-1.84008905769105</v>
      </c>
      <c r="AX79" t="inlineStr">
        <is>
          <t>8cr</t>
        </is>
      </c>
      <c r="AY79" s="26" t="n">
        <v>1.733277863989734</v>
      </c>
      <c r="AZ79" s="26" t="n">
        <v>1.315811393343106</v>
      </c>
      <c r="BA79" s="26" t="n">
        <v>0.5452635823748996</v>
      </c>
      <c r="BB79" s="28" t="n">
        <v>1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</row>
    <row r="80">
      <c r="A80" s="3" t="inlineStr">
        <is>
          <t>Canara Robeco Large and Mid Cap Fund</t>
        </is>
      </c>
      <c r="B80" s="3" t="inlineStr">
        <is>
          <t>large and mid cap</t>
        </is>
      </c>
      <c r="C80" s="3" t="inlineStr">
        <is>
          <t>Nifty LargeMidcap 250 TRI</t>
        </is>
      </c>
      <c r="D80" s="3" t="inlineStr">
        <is>
          <t>Very High</t>
        </is>
      </c>
      <c r="E80" s="3" t="inlineStr">
        <is>
          <t>Very High</t>
        </is>
      </c>
      <c r="F80" s="11" t="n">
        <v>46023</v>
      </c>
      <c r="G80" s="3" t="n">
        <v>253.51</v>
      </c>
      <c r="H80" s="3" t="n">
        <v>291.65</v>
      </c>
      <c r="I80" s="3" t="n">
        <v>0.19926478</v>
      </c>
      <c r="J80" s="3" t="n">
        <v>-7.79734492</v>
      </c>
      <c r="K80" s="3" t="n">
        <v>7.9966097</v>
      </c>
      <c r="L80" s="3" t="n">
        <v>17.178658</v>
      </c>
      <c r="M80" s="3" t="n">
        <v>-2.298303000000001</v>
      </c>
      <c r="N80" s="3" t="n">
        <v>19.476961</v>
      </c>
      <c r="O80" s="3" t="n">
        <v>17.195793</v>
      </c>
      <c r="P80" s="3" t="n">
        <v>-2.201109000000002</v>
      </c>
      <c r="Q80" s="3" t="n">
        <v>19.396902</v>
      </c>
      <c r="R80" s="3" t="n">
        <v>16.189808</v>
      </c>
      <c r="S80" s="3" t="n">
        <v>-0.05318100000000214</v>
      </c>
      <c r="T80" s="3" t="n">
        <v>16.242989</v>
      </c>
      <c r="U80" s="3" t="n">
        <v>19.792963</v>
      </c>
      <c r="V80" s="3" t="n">
        <v>25646.44</v>
      </c>
      <c r="W80" s="3" t="n">
        <v>-1.648620492059929</v>
      </c>
      <c r="X80" s="3" t="n">
        <v>-1.884736794791766</v>
      </c>
      <c r="Y80" s="3" t="n">
        <v>-0.008523261092616245</v>
      </c>
      <c r="Z80" s="3" t="n">
        <v>-0.2919630075391557</v>
      </c>
      <c r="AA80" s="3" t="n">
        <v>-0.4848454064253824</v>
      </c>
      <c r="AB80" s="3" t="n">
        <v>-0.7481462051228415</v>
      </c>
      <c r="AC80" s="3" t="n">
        <v>-0.4944459313649012</v>
      </c>
      <c r="AD80" s="3" t="n">
        <v>-0.7835172773630706</v>
      </c>
      <c r="AE80" s="3" t="n">
        <v>-0.83320296</v>
      </c>
      <c r="AF80" s="3" t="n">
        <v>14.858117</v>
      </c>
      <c r="AG80" s="3" t="n">
        <v>15.963206</v>
      </c>
      <c r="AH80" s="3" t="n">
        <v>15.906123</v>
      </c>
      <c r="AI80" s="3" t="n"/>
      <c r="AJ80" s="3" t="n">
        <v>16.312363</v>
      </c>
      <c r="AK80" s="3" t="n">
        <v>16.793814</v>
      </c>
      <c r="AL80" s="3" t="inlineStr">
        <is>
          <t>Equity Scheme - Large &amp; Mid Cap Fund</t>
        </is>
      </c>
      <c r="AM80" s="3" t="n">
        <v>1.49</v>
      </c>
      <c r="AN80" s="3" t="n">
        <v>0</v>
      </c>
      <c r="AO80" s="3" t="n">
        <v>0.05</v>
      </c>
      <c r="AP80" s="3" t="n">
        <v>0.07000000000000001</v>
      </c>
      <c r="AQ80" s="3" t="n">
        <v>1.61</v>
      </c>
      <c r="AR80" s="3" t="n">
        <v>0.46</v>
      </c>
      <c r="AS80" s="3" t="n">
        <v>0</v>
      </c>
      <c r="AT80" s="3" t="n">
        <v>0.05</v>
      </c>
      <c r="AU80" s="3" t="n">
        <v>0.07000000000000001</v>
      </c>
      <c r="AV80" s="3" t="n">
        <v>0.58</v>
      </c>
      <c r="AW80" s="17" t="n">
        <v>2.175896537687105</v>
      </c>
      <c r="AX80" s="18" t="inlineStr">
        <is>
          <t>-558cr</t>
        </is>
      </c>
      <c r="AY80" s="26" t="n">
        <v>1.183739467950447</v>
      </c>
      <c r="AZ80" s="26" t="n">
        <v>1.315811393343106</v>
      </c>
      <c r="BA80" s="26" t="n">
        <v>0.5955566084693209</v>
      </c>
      <c r="BB80" s="28" t="n">
        <v>3</v>
      </c>
      <c r="BC80" t="n">
        <v>0</v>
      </c>
      <c r="BD80" t="n">
        <v>1</v>
      </c>
      <c r="BE80" t="n">
        <v>1</v>
      </c>
      <c r="BF80" t="n">
        <v>0</v>
      </c>
      <c r="BG80" t="n">
        <v>0</v>
      </c>
      <c r="BH80" t="n">
        <v>1</v>
      </c>
    </row>
    <row r="81">
      <c r="A81" s="3" t="inlineStr">
        <is>
          <t>Franklin India Large &amp; Mid Cap Fund</t>
        </is>
      </c>
      <c r="B81" s="3" t="inlineStr">
        <is>
          <t>large and mid cap</t>
        </is>
      </c>
      <c r="C81" s="3" t="inlineStr">
        <is>
          <t>Nifty LargeMidcap 250 TRI</t>
        </is>
      </c>
      <c r="D81" s="3" t="inlineStr">
        <is>
          <t>Very High</t>
        </is>
      </c>
      <c r="E81" s="3" t="inlineStr">
        <is>
          <t>Very High</t>
        </is>
      </c>
      <c r="F81" s="11" t="n">
        <v>46023</v>
      </c>
      <c r="G81" s="3" t="n">
        <v>196.4952</v>
      </c>
      <c r="H81" s="3" t="n">
        <v>216.5706</v>
      </c>
      <c r="I81" s="3" t="n">
        <v>7.947586</v>
      </c>
      <c r="J81" s="3" t="n">
        <v>-0.04902369999999934</v>
      </c>
      <c r="K81" s="3" t="n">
        <v>7.9966097</v>
      </c>
      <c r="L81" s="3" t="n">
        <v>18.437065</v>
      </c>
      <c r="M81" s="3" t="n">
        <v>-1.039895999999999</v>
      </c>
      <c r="N81" s="3" t="n">
        <v>19.476961</v>
      </c>
      <c r="O81" s="3" t="n">
        <v>17.709309</v>
      </c>
      <c r="P81" s="3" t="n">
        <v>-1.687593</v>
      </c>
      <c r="Q81" s="3" t="n">
        <v>19.396902</v>
      </c>
      <c r="R81" s="3" t="n">
        <v>13.338069</v>
      </c>
      <c r="S81" s="3" t="n">
        <v>-2.904920000000001</v>
      </c>
      <c r="T81" s="3" t="n">
        <v>16.242989</v>
      </c>
      <c r="U81" s="3" t="n">
        <v>14.868289</v>
      </c>
      <c r="V81" s="3" t="n">
        <v>3683.01</v>
      </c>
      <c r="W81" s="3" t="n">
        <v>-0.04017193422537734</v>
      </c>
      <c r="X81" s="3" t="n">
        <v>-0.2204436856898208</v>
      </c>
      <c r="Y81" s="3" t="n">
        <v>-0.5642963575948815</v>
      </c>
      <c r="Z81" s="3" t="n">
        <v>-0.7346881827863054</v>
      </c>
      <c r="AA81" s="3" t="n">
        <v>-0.2497344169258751</v>
      </c>
      <c r="AB81" s="3" t="n">
        <v>-0.4345957189911792</v>
      </c>
      <c r="AC81" s="3" t="n">
        <v>-0.3405848007530115</v>
      </c>
      <c r="AD81" s="3" t="n">
        <v>-0.5114395914542339</v>
      </c>
      <c r="AE81" s="3" t="n">
        <v>7.1882234</v>
      </c>
      <c r="AF81" s="3" t="n">
        <v>12.466971</v>
      </c>
      <c r="AG81" s="3" t="n">
        <v>17.557638</v>
      </c>
      <c r="AH81" s="3" t="n">
        <v>16.848759</v>
      </c>
      <c r="AI81" s="3" t="n"/>
      <c r="AJ81" s="3" t="n">
        <v>16.362026</v>
      </c>
      <c r="AK81" s="3" t="n">
        <v>15.354172</v>
      </c>
      <c r="AL81" s="3" t="inlineStr">
        <is>
          <t>Equity Scheme - Large &amp; Mid Cap Fund</t>
        </is>
      </c>
      <c r="AM81" s="3" t="n">
        <v>1.78</v>
      </c>
      <c r="AN81" s="3" t="n">
        <v>0</v>
      </c>
      <c r="AO81" s="3" t="n">
        <v>0.05</v>
      </c>
      <c r="AP81" s="3" t="n">
        <v>0.2</v>
      </c>
      <c r="AQ81" s="3" t="n">
        <v>2.03</v>
      </c>
      <c r="AR81" s="3" t="n">
        <v>1.1</v>
      </c>
      <c r="AS81" s="3" t="n">
        <v>0</v>
      </c>
      <c r="AT81" s="3" t="n">
        <v>0.05</v>
      </c>
      <c r="AU81" s="3" t="n">
        <v>0.19</v>
      </c>
      <c r="AV81" s="3" t="n">
        <v>1.34</v>
      </c>
      <c r="AW81" s="17" t="n">
        <v>0.6505548450859373</v>
      </c>
      <c r="AX81" s="18" t="inlineStr">
        <is>
          <t>-24cr</t>
        </is>
      </c>
      <c r="AY81" s="26" t="n">
        <v>1.317164733085575</v>
      </c>
      <c r="AZ81" s="26" t="n">
        <v>1.315811393343106</v>
      </c>
      <c r="BA81" s="26" t="n">
        <v>0.5381725467100874</v>
      </c>
      <c r="BB81" s="28" t="n">
        <v>2</v>
      </c>
      <c r="BC81" t="n">
        <v>1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</row>
    <row r="82">
      <c r="A82" s="3" t="inlineStr">
        <is>
          <t>HDFC Large and Mid Cap Fund</t>
        </is>
      </c>
      <c r="B82" s="3" t="inlineStr">
        <is>
          <t>large and mid cap</t>
        </is>
      </c>
      <c r="C82" s="3" t="inlineStr">
        <is>
          <t>Nifty LargeMidcap 250 TRI</t>
        </is>
      </c>
      <c r="D82" s="3" t="inlineStr">
        <is>
          <t>Very High</t>
        </is>
      </c>
      <c r="E82" s="3" t="inlineStr">
        <is>
          <t>Very High</t>
        </is>
      </c>
      <c r="F82" s="11" t="n">
        <v>46023</v>
      </c>
      <c r="G82" s="3" t="n">
        <v>350.321</v>
      </c>
      <c r="H82" s="3" t="n">
        <v>369.695</v>
      </c>
      <c r="I82" s="3" t="n">
        <v>6.758169</v>
      </c>
      <c r="J82" s="3" t="n">
        <v>-1.2384407</v>
      </c>
      <c r="K82" s="3" t="n">
        <v>7.9966097</v>
      </c>
      <c r="L82" s="3" t="n">
        <v>21.430363</v>
      </c>
      <c r="M82" s="3" t="n">
        <v>1.953402000000001</v>
      </c>
      <c r="N82" s="3" t="n">
        <v>19.476961</v>
      </c>
      <c r="O82" s="3" t="n">
        <v>22.812336</v>
      </c>
      <c r="P82" s="3" t="n">
        <v>3.415433999999998</v>
      </c>
      <c r="Q82" s="3" t="n">
        <v>19.396902</v>
      </c>
      <c r="R82" s="3" t="n">
        <v>15.810024</v>
      </c>
      <c r="S82" s="3" t="n">
        <v>-0.4329650000000012</v>
      </c>
      <c r="T82" s="3" t="n">
        <v>16.242989</v>
      </c>
      <c r="U82" s="3" t="n">
        <v>13.998154</v>
      </c>
      <c r="V82" s="3" t="n">
        <v>29075.43</v>
      </c>
      <c r="W82" s="3" t="n">
        <v>-0.6003981497085825</v>
      </c>
      <c r="X82" s="3" t="n">
        <v>-1.001222427596016</v>
      </c>
      <c r="Y82" s="3" t="n">
        <v>-0.066408429668013</v>
      </c>
      <c r="Z82" s="3" t="n">
        <v>-0.1708152471314942</v>
      </c>
      <c r="AA82" s="3" t="n">
        <v>0.8273878697679896</v>
      </c>
      <c r="AB82" s="3" t="n">
        <v>0.4098763672586741</v>
      </c>
      <c r="AC82" s="3" t="n">
        <v>1.081563343474802</v>
      </c>
      <c r="AD82" s="3" t="n">
        <v>0.7878267073799028</v>
      </c>
      <c r="AE82" s="3" t="n">
        <v>5.9366956</v>
      </c>
      <c r="AF82" s="3" t="n">
        <v>15.262394</v>
      </c>
      <c r="AG82" s="3" t="n">
        <v>20.443796</v>
      </c>
      <c r="AH82" s="3" t="n">
        <v>21.863962</v>
      </c>
      <c r="AI82" s="3" t="n"/>
      <c r="AJ82" s="3" t="n">
        <v>16.312363</v>
      </c>
      <c r="AK82" s="3" t="n">
        <v>12.842315</v>
      </c>
      <c r="AL82" s="3" t="inlineStr">
        <is>
          <t>Equity Scheme - Large &amp; Mid Cap Fund</t>
        </is>
      </c>
      <c r="AM82" s="3" t="n">
        <v>1.46</v>
      </c>
      <c r="AN82" s="3" t="n">
        <v>0</v>
      </c>
      <c r="AO82" s="3" t="n">
        <v>0.05</v>
      </c>
      <c r="AP82" s="3" t="n">
        <v>0.11</v>
      </c>
      <c r="AQ82" s="3" t="n">
        <v>1.62</v>
      </c>
      <c r="AR82" s="3" t="n">
        <v>0.67</v>
      </c>
      <c r="AS82" s="3" t="n">
        <v>0</v>
      </c>
      <c r="AT82" s="3" t="n">
        <v>0.05</v>
      </c>
      <c r="AU82" s="3" t="n">
        <v>0.11</v>
      </c>
      <c r="AV82" s="3" t="n">
        <v>0.83</v>
      </c>
      <c r="AW82" s="17" t="n">
        <v>-0.7605046597763093</v>
      </c>
      <c r="AX82" t="inlineStr">
        <is>
          <t>221cr</t>
        </is>
      </c>
      <c r="AY82" s="26" t="n">
        <v>1.11325788186034</v>
      </c>
      <c r="AZ82" s="26" t="n">
        <v>1.315811393343106</v>
      </c>
      <c r="BA82" s="26" t="n">
        <v>0.5473121693950328</v>
      </c>
      <c r="BB82" s="28" t="n">
        <v>2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1</v>
      </c>
    </row>
    <row r="83">
      <c r="A83" s="3" t="inlineStr">
        <is>
          <t>Helios Large &amp; Mid Cap Fund</t>
        </is>
      </c>
      <c r="B83" s="3" t="inlineStr">
        <is>
          <t>large and mid cap</t>
        </is>
      </c>
      <c r="C83" s="3" t="inlineStr">
        <is>
          <t>Nifty LargeMidcap 250 TRI</t>
        </is>
      </c>
      <c r="D83" s="3" t="inlineStr">
        <is>
          <t>Very High</t>
        </is>
      </c>
      <c r="E83" s="3" t="inlineStr">
        <is>
          <t>Very High</t>
        </is>
      </c>
      <c r="F83" s="11" t="n">
        <v>46023</v>
      </c>
      <c r="G83" s="3" t="n">
        <v>11.1</v>
      </c>
      <c r="H83" s="3" t="n">
        <v>11.31</v>
      </c>
      <c r="I83" s="3" t="n">
        <v>10.126582</v>
      </c>
      <c r="J83" s="3" t="n">
        <v>2.129972300000001</v>
      </c>
      <c r="K83" s="3" t="n">
        <v>7.9966097</v>
      </c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>
        <v>12.371502</v>
      </c>
      <c r="V83" s="3" t="n">
        <v>673.4400000000001</v>
      </c>
      <c r="W83" s="3" t="n">
        <v>0.4701186156190803</v>
      </c>
      <c r="X83" s="3" t="n">
        <v>0.1007232637094594</v>
      </c>
      <c r="Y83" s="3" t="n"/>
      <c r="Z83" s="3" t="n"/>
      <c r="AA83" s="3" t="n"/>
      <c r="AB83" s="3" t="n"/>
      <c r="AC83" s="3" t="n"/>
      <c r="AD83" s="3" t="n"/>
      <c r="AE83" s="3" t="n">
        <v>8.3984375</v>
      </c>
      <c r="AF83" s="3" t="n"/>
      <c r="AG83" s="3" t="n"/>
      <c r="AH83" s="3" t="n"/>
      <c r="AI83" s="3" t="n">
        <v>7.5052576</v>
      </c>
      <c r="AJ83" s="3" t="n">
        <v>7.5052576</v>
      </c>
      <c r="AK83" s="3" t="n">
        <v>10.568809</v>
      </c>
      <c r="AL83" s="3" t="inlineStr">
        <is>
          <t>Equity Scheme - Large &amp; Mid Cap Fund</t>
        </is>
      </c>
      <c r="AM83" s="3" t="n">
        <v>2.18</v>
      </c>
      <c r="AN83" s="3" t="n">
        <v>0</v>
      </c>
      <c r="AO83" s="3" t="n">
        <v>0.05</v>
      </c>
      <c r="AP83" s="3" t="n">
        <v>0.1</v>
      </c>
      <c r="AQ83" s="3" t="n">
        <v>2.33</v>
      </c>
      <c r="AR83" s="3" t="n">
        <v>0.58</v>
      </c>
      <c r="AS83" s="3" t="n">
        <v>0</v>
      </c>
      <c r="AT83" s="3" t="n">
        <v>0.05</v>
      </c>
      <c r="AU83" s="3" t="n">
        <v>0.1</v>
      </c>
      <c r="AV83" s="3" t="n">
        <v>0.73</v>
      </c>
      <c r="AW83" s="17" t="n">
        <v>-6.995426467094323</v>
      </c>
      <c r="AX83" t="inlineStr">
        <is>
          <t>47cr</t>
        </is>
      </c>
      <c r="AY83" s="26" t="n">
        <v>1.198386061491319</v>
      </c>
      <c r="AZ83" s="26" t="n">
        <v>1.315811393343106</v>
      </c>
      <c r="BA83" s="26" t="n">
        <v>0.5785769880201107</v>
      </c>
      <c r="BB83" s="28" t="n">
        <v>3</v>
      </c>
      <c r="BC83" t="n">
        <v>1</v>
      </c>
      <c r="BD83" t="n">
        <v>0</v>
      </c>
      <c r="BE83" t="n">
        <v>0</v>
      </c>
      <c r="BF83" t="n">
        <v>1</v>
      </c>
      <c r="BG83" t="n">
        <v>0</v>
      </c>
      <c r="BH83" t="n">
        <v>1</v>
      </c>
    </row>
    <row r="84">
      <c r="A84" s="3" t="inlineStr">
        <is>
          <t>ICICI Prudential Large &amp; Mid Cap Fund</t>
        </is>
      </c>
      <c r="B84" s="3" t="inlineStr">
        <is>
          <t>large and mid cap</t>
        </is>
      </c>
      <c r="C84" s="3" t="inlineStr">
        <is>
          <t>Nifty LargeMidcap 250 TRI</t>
        </is>
      </c>
      <c r="D84" s="3" t="inlineStr">
        <is>
          <t>Very High</t>
        </is>
      </c>
      <c r="E84" s="3" t="inlineStr">
        <is>
          <t>Very High</t>
        </is>
      </c>
      <c r="F84" s="11" t="n">
        <v>46023</v>
      </c>
      <c r="G84" s="3" t="n">
        <v>1054.31</v>
      </c>
      <c r="H84" s="3" t="n">
        <v>1182.58</v>
      </c>
      <c r="I84" s="3" t="n">
        <v>14.793531</v>
      </c>
      <c r="J84" s="3" t="n">
        <v>6.7969213</v>
      </c>
      <c r="K84" s="3" t="n">
        <v>7.9966097</v>
      </c>
      <c r="L84" s="3" t="n">
        <v>22.456963</v>
      </c>
      <c r="M84" s="3" t="n">
        <v>2.980001999999999</v>
      </c>
      <c r="N84" s="3" t="n">
        <v>19.476961</v>
      </c>
      <c r="O84" s="3" t="n">
        <v>24.011656</v>
      </c>
      <c r="P84" s="3" t="n">
        <v>4.614753999999998</v>
      </c>
      <c r="Q84" s="3" t="n">
        <v>19.396902</v>
      </c>
      <c r="R84" s="3" t="n">
        <v>17.235418</v>
      </c>
      <c r="S84" s="3" t="n">
        <v>0.9924289999999978</v>
      </c>
      <c r="T84" s="3" t="n">
        <v>16.242989</v>
      </c>
      <c r="U84" s="3" t="n">
        <v>16.947987</v>
      </c>
      <c r="V84" s="3" t="n">
        <v>27808.1</v>
      </c>
      <c r="W84" s="3" t="n">
        <v>1.297410547259503</v>
      </c>
      <c r="X84" s="3" t="n">
        <v>1.103454921018805</v>
      </c>
      <c r="Y84" s="3" t="n">
        <v>0.1532436377239008</v>
      </c>
      <c r="Z84" s="3" t="n">
        <v>-0.04408004579480151</v>
      </c>
      <c r="AA84" s="3" t="n">
        <v>0.5538582515409298</v>
      </c>
      <c r="AB84" s="3" t="n">
        <v>0.3365041208697225</v>
      </c>
      <c r="AC84" s="3" t="n">
        <v>0.8330868567441</v>
      </c>
      <c r="AD84" s="3" t="n">
        <v>0.6378328851657313</v>
      </c>
      <c r="AE84" s="3" t="n">
        <v>13.803525</v>
      </c>
      <c r="AF84" s="3" t="n">
        <v>16.167059</v>
      </c>
      <c r="AG84" s="3" t="n">
        <v>21.40197</v>
      </c>
      <c r="AH84" s="3" t="n">
        <v>22.969795</v>
      </c>
      <c r="AI84" s="3" t="n"/>
      <c r="AJ84" s="3" t="n">
        <v>16.362026</v>
      </c>
      <c r="AK84" s="3" t="n">
        <v>18.45648</v>
      </c>
      <c r="AL84" s="3" t="inlineStr">
        <is>
          <t>Equity Scheme - Large &amp; Mid Cap Fund</t>
        </is>
      </c>
      <c r="AM84" s="3" t="n">
        <v>1.47</v>
      </c>
      <c r="AN84" s="3" t="n">
        <v>0</v>
      </c>
      <c r="AO84" s="3" t="n">
        <v>0.05</v>
      </c>
      <c r="AP84" s="3" t="n">
        <v>0.11</v>
      </c>
      <c r="AQ84" s="3" t="n">
        <v>1.63</v>
      </c>
      <c r="AR84" s="3" t="n">
        <v>0.63</v>
      </c>
      <c r="AS84" s="3" t="n">
        <v>0</v>
      </c>
      <c r="AT84" s="3" t="n">
        <v>0.05</v>
      </c>
      <c r="AU84" s="3" t="n">
        <v>0.11</v>
      </c>
      <c r="AV84" s="3" t="n">
        <v>0.79</v>
      </c>
      <c r="AW84" s="17" t="n">
        <v>-3.311553108626613</v>
      </c>
      <c r="AX84" t="inlineStr">
        <is>
          <t>921cr</t>
        </is>
      </c>
      <c r="AY84" s="26" t="n">
        <v>1.28680693077059</v>
      </c>
      <c r="AZ84" s="26" t="n">
        <v>1.315811393343106</v>
      </c>
      <c r="BA84" s="26" t="n">
        <v>0.4915391813306281</v>
      </c>
      <c r="BB84" s="28" t="n">
        <v>4</v>
      </c>
      <c r="BC84" t="n">
        <v>1</v>
      </c>
      <c r="BD84" t="n">
        <v>0</v>
      </c>
      <c r="BE84" t="n">
        <v>0</v>
      </c>
      <c r="BF84" t="n">
        <v>1</v>
      </c>
      <c r="BG84" t="n">
        <v>1</v>
      </c>
      <c r="BH84" t="n">
        <v>1</v>
      </c>
    </row>
    <row r="85">
      <c r="A85" s="3" t="inlineStr">
        <is>
          <t>Invesco India Large &amp; Mid Cap Fund</t>
        </is>
      </c>
      <c r="B85" s="3" t="inlineStr">
        <is>
          <t>large and mid cap</t>
        </is>
      </c>
      <c r="C85" s="3" t="inlineStr">
        <is>
          <t>Nifty LargeMidcap 250 TRI</t>
        </is>
      </c>
      <c r="D85" s="3" t="inlineStr">
        <is>
          <t>Very High</t>
        </is>
      </c>
      <c r="E85" s="3" t="inlineStr">
        <is>
          <t>Very High</t>
        </is>
      </c>
      <c r="F85" s="11" t="n">
        <v>46023</v>
      </c>
      <c r="G85" s="3" t="n">
        <v>101.03</v>
      </c>
      <c r="H85" s="3" t="n">
        <v>120.22</v>
      </c>
      <c r="I85" s="3" t="n">
        <v>6.014109</v>
      </c>
      <c r="J85" s="3" t="n">
        <v>-1.982500699999999</v>
      </c>
      <c r="K85" s="3" t="n">
        <v>7.9966097</v>
      </c>
      <c r="L85" s="3" t="n">
        <v>25.278429</v>
      </c>
      <c r="M85" s="3" t="n">
        <v>5.801468</v>
      </c>
      <c r="N85" s="3" t="n">
        <v>19.476961</v>
      </c>
      <c r="O85" s="3" t="n">
        <v>21.065796</v>
      </c>
      <c r="P85" s="3" t="n">
        <v>1.668893999999998</v>
      </c>
      <c r="Q85" s="3" t="n">
        <v>19.396902</v>
      </c>
      <c r="R85" s="3" t="n">
        <v>17.585888</v>
      </c>
      <c r="S85" s="3" t="n">
        <v>1.342898999999999</v>
      </c>
      <c r="T85" s="3" t="n">
        <v>16.242989</v>
      </c>
      <c r="U85" s="3" t="n">
        <v>18.089754</v>
      </c>
      <c r="V85" s="3" t="n">
        <v>9390.370000000001</v>
      </c>
      <c r="W85" s="3" t="n">
        <v>-0.2059812755578707</v>
      </c>
      <c r="X85" s="3" t="n">
        <v>-0.3730489942492793</v>
      </c>
      <c r="Y85" s="3" t="n">
        <v>0.2437994882990098</v>
      </c>
      <c r="Z85" s="3" t="n">
        <v>-0.05261381029093457</v>
      </c>
      <c r="AA85" s="3" t="n">
        <v>0.9543954664185464</v>
      </c>
      <c r="AB85" s="3" t="n">
        <v>0.7247194414846363</v>
      </c>
      <c r="AC85" s="3" t="n">
        <v>0.3003926824657351</v>
      </c>
      <c r="AD85" s="3" t="n">
        <v>0.03868118971701885</v>
      </c>
      <c r="AE85" s="3" t="n">
        <v>4.8137774</v>
      </c>
      <c r="AF85" s="3" t="n">
        <v>16.02228</v>
      </c>
      <c r="AG85" s="3" t="n">
        <v>23.817675</v>
      </c>
      <c r="AH85" s="3" t="n">
        <v>19.591291</v>
      </c>
      <c r="AI85" s="3" t="n">
        <v>13.507297</v>
      </c>
      <c r="AJ85" s="3" t="n">
        <v>16.312363</v>
      </c>
      <c r="AK85" s="3" t="n">
        <v>13.385416</v>
      </c>
      <c r="AL85" s="3" t="inlineStr">
        <is>
          <t>Equity Scheme - Large &amp; Mid Cap Fund</t>
        </is>
      </c>
      <c r="AM85" s="3" t="n">
        <v>1.62</v>
      </c>
      <c r="AN85" s="3" t="n">
        <v>0</v>
      </c>
      <c r="AO85" s="3" t="n">
        <v>0.05</v>
      </c>
      <c r="AP85" s="3" t="n">
        <v>0.08</v>
      </c>
      <c r="AQ85" s="3" t="n">
        <v>1.75</v>
      </c>
      <c r="AR85" s="3" t="n">
        <v>0.48</v>
      </c>
      <c r="AS85" s="3" t="n">
        <v>0</v>
      </c>
      <c r="AT85" s="3" t="n">
        <v>0.05</v>
      </c>
      <c r="AU85" s="3" t="n">
        <v>0.08</v>
      </c>
      <c r="AV85" s="3" t="n">
        <v>0.61</v>
      </c>
      <c r="AW85" s="17" t="n">
        <v>-0.3354500408397113</v>
      </c>
      <c r="AX85" t="inlineStr">
        <is>
          <t>32cr</t>
        </is>
      </c>
      <c r="AY85" s="26" t="n">
        <v>1.401622110666078</v>
      </c>
      <c r="AZ85" s="26" t="n">
        <v>1.315811393343106</v>
      </c>
      <c r="BA85" s="26" t="n">
        <v>0.6901565104083499</v>
      </c>
      <c r="BB85" s="28" t="n">
        <v>2</v>
      </c>
      <c r="BC85" t="n">
        <v>1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</row>
    <row r="86">
      <c r="A86" s="3" t="inlineStr">
        <is>
          <t>ITI Large &amp; Mid Cap Fund</t>
        </is>
      </c>
      <c r="B86" s="3" t="inlineStr">
        <is>
          <t>large and mid cap</t>
        </is>
      </c>
      <c r="C86" s="3" t="inlineStr">
        <is>
          <t>Nifty LargeMidcap 250 TRI</t>
        </is>
      </c>
      <c r="D86" s="3" t="inlineStr">
        <is>
          <t>Very High</t>
        </is>
      </c>
      <c r="E86" s="3" t="inlineStr">
        <is>
          <t>Very High</t>
        </is>
      </c>
      <c r="F86" s="11" t="n">
        <v>46023</v>
      </c>
      <c r="G86" s="3" t="n">
        <v>9.637499999999999</v>
      </c>
      <c r="H86" s="3" t="n">
        <v>9.853899999999999</v>
      </c>
      <c r="I86" s="3" t="n">
        <v>0.025377104</v>
      </c>
      <c r="J86" s="3" t="n">
        <v>-7.971232595999999</v>
      </c>
      <c r="K86" s="3" t="n">
        <v>7.9966097</v>
      </c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>
        <v>-1.70415</v>
      </c>
      <c r="V86" s="3" t="n">
        <v>824</v>
      </c>
      <c r="W86" s="3" t="n">
        <v>-1.539089310841712</v>
      </c>
      <c r="X86" s="3" t="n">
        <v>-1.890663192476508</v>
      </c>
      <c r="Y86" s="3" t="n"/>
      <c r="Z86" s="3" t="n"/>
      <c r="AA86" s="3" t="n"/>
      <c r="AB86" s="3" t="n"/>
      <c r="AC86" s="3" t="n"/>
      <c r="AD86" s="3" t="n"/>
      <c r="AE86" s="3" t="n">
        <v>-1.6149943</v>
      </c>
      <c r="AF86" s="3" t="n"/>
      <c r="AG86" s="3" t="n"/>
      <c r="AH86" s="3" t="n"/>
      <c r="AI86" s="3" t="n">
        <v>1.6290306</v>
      </c>
      <c r="AJ86" s="3" t="n">
        <v>1.6290306</v>
      </c>
      <c r="AK86" s="3" t="n">
        <v>-3.3561115</v>
      </c>
      <c r="AL86" s="3" t="inlineStr">
        <is>
          <t>Equity Scheme - Large &amp; Mid Cap Fund</t>
        </is>
      </c>
      <c r="AM86" s="3" t="n">
        <v>2.12</v>
      </c>
      <c r="AN86" s="3" t="n">
        <v>0</v>
      </c>
      <c r="AO86" s="3" t="n">
        <v>0.05</v>
      </c>
      <c r="AP86" s="3" t="n">
        <v>0.04</v>
      </c>
      <c r="AQ86" s="3" t="n">
        <v>2.21</v>
      </c>
      <c r="AR86" s="3" t="n">
        <v>0.35</v>
      </c>
      <c r="AS86" s="3" t="n">
        <v>0</v>
      </c>
      <c r="AT86" s="3" t="n">
        <v>0.05</v>
      </c>
      <c r="AU86" s="3" t="n">
        <v>0.04</v>
      </c>
      <c r="AV86" s="3" t="n">
        <v>0.44</v>
      </c>
      <c r="AW86" s="17" t="n">
        <v>4.223300970873781</v>
      </c>
      <c r="AX86" s="18" t="inlineStr">
        <is>
          <t>-35cr</t>
        </is>
      </c>
      <c r="AY86" s="26" t="n">
        <v>1.526946671413513</v>
      </c>
      <c r="AZ86" s="26" t="n">
        <v>1.315811393343106</v>
      </c>
      <c r="BA86" s="26" t="n">
        <v>0.6535876963762589</v>
      </c>
      <c r="BB86" s="28" t="n">
        <v>2</v>
      </c>
      <c r="BC86" t="n">
        <v>0</v>
      </c>
      <c r="BD86" t="n">
        <v>1</v>
      </c>
      <c r="BE86" t="n">
        <v>1</v>
      </c>
      <c r="BF86" t="n">
        <v>0</v>
      </c>
      <c r="BG86" t="n">
        <v>0</v>
      </c>
      <c r="BH86" t="n">
        <v>0</v>
      </c>
    </row>
    <row r="87">
      <c r="A87" s="3" t="inlineStr">
        <is>
          <t>JM Large &amp; Mid Cap Fund</t>
        </is>
      </c>
      <c r="B87" s="3" t="inlineStr">
        <is>
          <t>large and mid cap</t>
        </is>
      </c>
      <c r="C87" s="3" t="inlineStr">
        <is>
          <t>Nifty LargeMidcap 250 TRI</t>
        </is>
      </c>
      <c r="D87" s="3" t="inlineStr">
        <is>
          <t>Very High</t>
        </is>
      </c>
      <c r="E87" s="3" t="inlineStr">
        <is>
          <t>Very High</t>
        </is>
      </c>
      <c r="F87" s="11" t="n">
        <v>46023</v>
      </c>
      <c r="G87" s="3" t="n">
        <v>10.3961</v>
      </c>
      <c r="H87" s="3" t="n">
        <v>10.4767</v>
      </c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>
        <v>404.88</v>
      </c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inlineStr">
        <is>
          <t>Equity Scheme - Large &amp; Mid Cap Fund</t>
        </is>
      </c>
      <c r="AM87" s="3" t="n">
        <v>2.25</v>
      </c>
      <c r="AN87" s="3" t="n">
        <v>0</v>
      </c>
      <c r="AO87" s="3" t="n">
        <v>0.05</v>
      </c>
      <c r="AP87" s="3" t="n">
        <v>0.04</v>
      </c>
      <c r="AQ87" s="3" t="n">
        <v>2.34</v>
      </c>
      <c r="AR87" s="3" t="n">
        <v>0.5</v>
      </c>
      <c r="AS87" s="3" t="n">
        <v>0</v>
      </c>
      <c r="AT87" s="3" t="n">
        <v>0.05</v>
      </c>
      <c r="AU87" s="3" t="n">
        <v>0.04</v>
      </c>
      <c r="AV87" s="3" t="n">
        <v>0.59</v>
      </c>
      <c r="AW87" s="17" t="n">
        <v>-2.534084173088321</v>
      </c>
      <c r="AX87" t="inlineStr">
        <is>
          <t>10cr</t>
        </is>
      </c>
      <c r="AY87" s="26" t="n">
        <v>1.428779251909313</v>
      </c>
      <c r="AZ87" s="26" t="n">
        <v>1.315811393343106</v>
      </c>
      <c r="BA87" s="26" t="n">
        <v>0.6436695519536121</v>
      </c>
      <c r="BB87" s="28" t="n">
        <v>1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</row>
    <row r="88">
      <c r="A88" s="3" t="inlineStr">
        <is>
          <t>Kotak Large &amp; Midcap Fund</t>
        </is>
      </c>
      <c r="B88" s="3" t="inlineStr">
        <is>
          <t>large and mid cap</t>
        </is>
      </c>
      <c r="C88" s="3" t="inlineStr">
        <is>
          <t>Nifty LargeMidcap 250 TRI</t>
        </is>
      </c>
      <c r="D88" s="3" t="inlineStr">
        <is>
          <t>Very High</t>
        </is>
      </c>
      <c r="E88" s="3" t="inlineStr">
        <is>
          <t>Very High</t>
        </is>
      </c>
      <c r="F88" s="11" t="n">
        <v>46023</v>
      </c>
      <c r="G88" s="3" t="n">
        <v>353.645</v>
      </c>
      <c r="H88" s="3" t="n">
        <v>407.896</v>
      </c>
      <c r="I88" s="3" t="n">
        <v>6.6444955</v>
      </c>
      <c r="J88" s="3" t="n">
        <v>-1.3521142</v>
      </c>
      <c r="K88" s="3" t="n">
        <v>7.9966097</v>
      </c>
      <c r="L88" s="3" t="n">
        <v>20.648651</v>
      </c>
      <c r="M88" s="3" t="n">
        <v>1.171690000000002</v>
      </c>
      <c r="N88" s="3" t="n">
        <v>19.476961</v>
      </c>
      <c r="O88" s="3" t="n">
        <v>20.073687</v>
      </c>
      <c r="P88" s="3" t="n">
        <v>0.6767849999999989</v>
      </c>
      <c r="Q88" s="3" t="n">
        <v>19.396902</v>
      </c>
      <c r="R88" s="3" t="n">
        <v>17.169102</v>
      </c>
      <c r="S88" s="3" t="n">
        <v>0.9261129999999973</v>
      </c>
      <c r="T88" s="3" t="n">
        <v>16.242989</v>
      </c>
      <c r="U88" s="3" t="n">
        <v>17.304409</v>
      </c>
      <c r="V88" s="3" t="n">
        <v>30147.96</v>
      </c>
      <c r="W88" s="3" t="n">
        <v>-0.4909107232565587</v>
      </c>
      <c r="X88" s="3" t="n">
        <v>-0.8754034149783567</v>
      </c>
      <c r="Y88" s="3" t="n">
        <v>0.1769137855787707</v>
      </c>
      <c r="Z88" s="3" t="n">
        <v>-0.1532798193312873</v>
      </c>
      <c r="AA88" s="3" t="n">
        <v>0.3301038065791556</v>
      </c>
      <c r="AB88" s="3" t="n">
        <v>-0.05020505468812286</v>
      </c>
      <c r="AC88" s="3" t="n">
        <v>0.1428060155496102</v>
      </c>
      <c r="AD88" s="3" t="n">
        <v>-0.209320042519072</v>
      </c>
      <c r="AE88" s="3" t="n">
        <v>5.5442476</v>
      </c>
      <c r="AF88" s="3" t="n">
        <v>15.790999</v>
      </c>
      <c r="AG88" s="3" t="n">
        <v>19.326223</v>
      </c>
      <c r="AH88" s="3" t="n">
        <v>18.700546</v>
      </c>
      <c r="AI88" s="3" t="n"/>
      <c r="AJ88" s="3" t="n">
        <v>16.312363</v>
      </c>
      <c r="AK88" s="3" t="n">
        <v>18.199045</v>
      </c>
      <c r="AL88" s="3" t="inlineStr">
        <is>
          <t>Equity Scheme - Large &amp; Mid Cap Fund</t>
        </is>
      </c>
      <c r="AM88" s="3" t="n">
        <v>1.45</v>
      </c>
      <c r="AN88" s="3" t="n">
        <v>0</v>
      </c>
      <c r="AO88" s="3" t="n">
        <v>0.05</v>
      </c>
      <c r="AP88" s="3" t="n">
        <v>0.07000000000000001</v>
      </c>
      <c r="AQ88" s="3" t="n">
        <v>1.57</v>
      </c>
      <c r="AR88" s="3" t="n">
        <v>0.48</v>
      </c>
      <c r="AS88" s="3" t="n">
        <v>0</v>
      </c>
      <c r="AT88" s="3" t="n">
        <v>0</v>
      </c>
      <c r="AU88" s="3" t="n">
        <v>0.07000000000000001</v>
      </c>
      <c r="AV88" s="3" t="n">
        <v>0.55</v>
      </c>
      <c r="AW88" s="17" t="n">
        <v>-0.675767116581021</v>
      </c>
      <c r="AX88" t="inlineStr">
        <is>
          <t>204cr</t>
        </is>
      </c>
      <c r="AY88" s="26" t="n">
        <v>1.050022861579222</v>
      </c>
      <c r="AZ88" s="26" t="n">
        <v>1.315811393343106</v>
      </c>
      <c r="BA88" s="26" t="n">
        <v>0.5410994164350157</v>
      </c>
      <c r="BB88" s="28" t="n">
        <v>3</v>
      </c>
      <c r="BC88" t="n">
        <v>1</v>
      </c>
      <c r="BD88" t="n">
        <v>0</v>
      </c>
      <c r="BE88" t="n">
        <v>1</v>
      </c>
      <c r="BF88" t="n">
        <v>0</v>
      </c>
      <c r="BG88" t="n">
        <v>0</v>
      </c>
      <c r="BH88" t="n">
        <v>1</v>
      </c>
    </row>
    <row r="89">
      <c r="A89" s="3" t="inlineStr">
        <is>
          <t>LIC MF Large &amp; Mid Cap Fund</t>
        </is>
      </c>
      <c r="B89" s="3" t="inlineStr">
        <is>
          <t>large and mid cap</t>
        </is>
      </c>
      <c r="C89" s="3" t="inlineStr">
        <is>
          <t>Nifty LargeMidcap 250 TRI</t>
        </is>
      </c>
      <c r="D89" s="3" t="inlineStr">
        <is>
          <t>Very High</t>
        </is>
      </c>
      <c r="E89" s="3" t="inlineStr">
        <is>
          <t>Very High</t>
        </is>
      </c>
      <c r="F89" s="11" t="n">
        <v>46023</v>
      </c>
      <c r="G89" s="3" t="n">
        <v>39.086</v>
      </c>
      <c r="H89" s="3" t="n">
        <v>45.2475</v>
      </c>
      <c r="I89" s="3" t="n">
        <v>0.97566855</v>
      </c>
      <c r="J89" s="3" t="n">
        <v>-7.02094115</v>
      </c>
      <c r="K89" s="3" t="n">
        <v>7.9966097</v>
      </c>
      <c r="L89" s="3" t="n">
        <v>19.083506</v>
      </c>
      <c r="M89" s="3" t="n">
        <v>-0.3934549999999994</v>
      </c>
      <c r="N89" s="3" t="n">
        <v>19.476961</v>
      </c>
      <c r="O89" s="3" t="n">
        <v>17.774406</v>
      </c>
      <c r="P89" s="3" t="n">
        <v>-1.622496000000002</v>
      </c>
      <c r="Q89" s="3" t="n">
        <v>19.396902</v>
      </c>
      <c r="R89" s="3" t="n">
        <v>16.514647</v>
      </c>
      <c r="S89" s="3" t="n">
        <v>0.2716579999999986</v>
      </c>
      <c r="T89" s="3" t="n">
        <v>16.242989</v>
      </c>
      <c r="U89" s="3" t="n">
        <v>14.916274</v>
      </c>
      <c r="V89" s="3" t="n">
        <v>3120.41</v>
      </c>
      <c r="W89" s="3" t="n">
        <v>-1.689729879719081</v>
      </c>
      <c r="X89" s="3" t="n">
        <v>-2.024643472954998</v>
      </c>
      <c r="Y89" s="3" t="n">
        <v>0.01947413675969287</v>
      </c>
      <c r="Z89" s="3" t="n">
        <v>-0.289161066051362</v>
      </c>
      <c r="AA89" s="3" t="n">
        <v>-0.07187531265306661</v>
      </c>
      <c r="AB89" s="3" t="n">
        <v>-0.4181964298174415</v>
      </c>
      <c r="AC89" s="3" t="n">
        <v>-0.3691424455753065</v>
      </c>
      <c r="AD89" s="3" t="n">
        <v>-0.7281654485902808</v>
      </c>
      <c r="AE89" s="3" t="n">
        <v>-0.349793</v>
      </c>
      <c r="AF89" s="3" t="n">
        <v>14.870509</v>
      </c>
      <c r="AG89" s="3" t="n">
        <v>17.550388</v>
      </c>
      <c r="AH89" s="3" t="n">
        <v>16.138594</v>
      </c>
      <c r="AI89" s="3" t="n">
        <v>14.816454</v>
      </c>
      <c r="AJ89" s="3" t="n">
        <v>14.816454</v>
      </c>
      <c r="AK89" s="3" t="n">
        <v>13.377351</v>
      </c>
      <c r="AL89" s="3" t="inlineStr">
        <is>
          <t>Equity Scheme - Large &amp; Mid Cap Fund</t>
        </is>
      </c>
      <c r="AM89" s="3" t="n">
        <v>1.8</v>
      </c>
      <c r="AN89" s="3" t="n">
        <v>0</v>
      </c>
      <c r="AO89" s="3" t="n">
        <v>0.05</v>
      </c>
      <c r="AP89" s="3" t="n">
        <v>0.07000000000000001</v>
      </c>
      <c r="AQ89" s="3" t="n">
        <v>1.92</v>
      </c>
      <c r="AR89" s="3" t="n">
        <v>0.52</v>
      </c>
      <c r="AS89" s="3" t="n">
        <v>0</v>
      </c>
      <c r="AT89" s="3" t="n">
        <v>0.05</v>
      </c>
      <c r="AU89" s="3" t="n">
        <v>0.07000000000000001</v>
      </c>
      <c r="AV89" s="3" t="n">
        <v>0.64</v>
      </c>
      <c r="AW89" s="17" t="n">
        <v>0.5242900772654917</v>
      </c>
      <c r="AX89" s="18" t="inlineStr">
        <is>
          <t>-16cr</t>
        </is>
      </c>
      <c r="AY89" s="26" t="n">
        <v>0.9968627182705216</v>
      </c>
      <c r="AZ89" s="26" t="n">
        <v>1.315811393343106</v>
      </c>
      <c r="BA89" s="26" t="n">
        <v>0.5772936600013459</v>
      </c>
      <c r="BB89" s="28" t="n">
        <v>3</v>
      </c>
      <c r="BC89" t="n">
        <v>0</v>
      </c>
      <c r="BD89" t="n">
        <v>1</v>
      </c>
      <c r="BE89" t="n">
        <v>1</v>
      </c>
      <c r="BF89" t="n">
        <v>0</v>
      </c>
      <c r="BG89" t="n">
        <v>0</v>
      </c>
      <c r="BH89" t="n">
        <v>1</v>
      </c>
    </row>
    <row r="90">
      <c r="A90" s="3" t="inlineStr">
        <is>
          <t>Mahindra Manulife Large &amp; Mid Cap Fund</t>
        </is>
      </c>
      <c r="B90" s="3" t="inlineStr">
        <is>
          <t>large and mid cap</t>
        </is>
      </c>
      <c r="C90" s="3" t="inlineStr">
        <is>
          <t>Nifty LargeMidcap 250 TRI</t>
        </is>
      </c>
      <c r="D90" s="3" t="inlineStr">
        <is>
          <t>Very High</t>
        </is>
      </c>
      <c r="E90" s="3" t="inlineStr">
        <is>
          <t>Very High</t>
        </is>
      </c>
      <c r="F90" s="11" t="n">
        <v>46023</v>
      </c>
      <c r="G90" s="3" t="n">
        <v>27.4494</v>
      </c>
      <c r="H90" s="3" t="n">
        <v>30.4504</v>
      </c>
      <c r="I90" s="3" t="n">
        <v>3.936567</v>
      </c>
      <c r="J90" s="3" t="n">
        <v>-4.060042699999999</v>
      </c>
      <c r="K90" s="3" t="n">
        <v>7.9966097</v>
      </c>
      <c r="L90" s="3" t="n">
        <v>18.42386</v>
      </c>
      <c r="M90" s="3" t="n">
        <v>-1.053100999999998</v>
      </c>
      <c r="N90" s="3" t="n">
        <v>19.476961</v>
      </c>
      <c r="O90" s="3" t="n">
        <v>20.517345</v>
      </c>
      <c r="P90" s="3" t="n">
        <v>1.120442999999998</v>
      </c>
      <c r="Q90" s="3" t="n">
        <v>19.396902</v>
      </c>
      <c r="R90" s="3" t="n"/>
      <c r="S90" s="3" t="n"/>
      <c r="T90" s="3" t="n"/>
      <c r="U90" s="3" t="n">
        <v>20.351606</v>
      </c>
      <c r="V90" s="3" t="n">
        <v>2793.17</v>
      </c>
      <c r="W90" s="3" t="n">
        <v>-0.968648151475095</v>
      </c>
      <c r="X90" s="3" t="n">
        <v>-1.353802172603045</v>
      </c>
      <c r="Y90" s="3" t="n"/>
      <c r="Z90" s="3" t="n"/>
      <c r="AA90" s="3" t="n">
        <v>-0.1407561038417668</v>
      </c>
      <c r="AB90" s="3" t="n">
        <v>-0.4893793438834683</v>
      </c>
      <c r="AC90" s="3" t="n">
        <v>0.2662720026856088</v>
      </c>
      <c r="AD90" s="3" t="n">
        <v>-0.1335017003273959</v>
      </c>
      <c r="AE90" s="3" t="n">
        <v>2.4147272</v>
      </c>
      <c r="AF90" s="3" t="n"/>
      <c r="AG90" s="3" t="n">
        <v>16.583963</v>
      </c>
      <c r="AH90" s="3" t="n">
        <v>18.470612</v>
      </c>
      <c r="AI90" s="3" t="n">
        <v>19.705603</v>
      </c>
      <c r="AJ90" s="3" t="n">
        <v>19.705603</v>
      </c>
      <c r="AK90" s="3" t="n">
        <v>18.29205</v>
      </c>
      <c r="AL90" s="3" t="inlineStr">
        <is>
          <t>Equity Scheme - Large &amp; Mid Cap Fund</t>
        </is>
      </c>
      <c r="AM90" s="3" t="n">
        <v>1.82</v>
      </c>
      <c r="AN90" s="3" t="n">
        <v>0</v>
      </c>
      <c r="AO90" s="3" t="n">
        <v>0.05</v>
      </c>
      <c r="AP90" s="3" t="n">
        <v>0.06</v>
      </c>
      <c r="AQ90" s="3" t="n">
        <v>1.93</v>
      </c>
      <c r="AR90" s="3" t="n">
        <v>0.36</v>
      </c>
      <c r="AS90" s="3" t="n">
        <v>0</v>
      </c>
      <c r="AT90" s="3" t="n">
        <v>0.05</v>
      </c>
      <c r="AU90" s="3" t="n">
        <v>0.06</v>
      </c>
      <c r="AV90" s="3" t="n">
        <v>0.47</v>
      </c>
      <c r="AW90" s="17" t="n">
        <v>-0.1210094623671352</v>
      </c>
      <c r="AX90" t="inlineStr">
        <is>
          <t>3cr</t>
        </is>
      </c>
      <c r="AY90" s="26" t="n">
        <v>1.37642494114936</v>
      </c>
      <c r="AZ90" s="26" t="n">
        <v>1.315811393343106</v>
      </c>
      <c r="BA90" s="26" t="n">
        <v>0.5889261140703368</v>
      </c>
      <c r="BB90" s="28" t="n">
        <v>1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0</v>
      </c>
    </row>
    <row r="91">
      <c r="A91" s="3" t="inlineStr">
        <is>
          <t>Mirae Asset Large &amp; Midcap Fund</t>
        </is>
      </c>
      <c r="B91" s="3" t="inlineStr">
        <is>
          <t>large and mid cap</t>
        </is>
      </c>
      <c r="C91" s="3" t="inlineStr">
        <is>
          <t>Nifty LargeMidcap 250 TRI</t>
        </is>
      </c>
      <c r="D91" s="3" t="inlineStr">
        <is>
          <t>Very High</t>
        </is>
      </c>
      <c r="E91" s="3" t="inlineStr">
        <is>
          <t>Very High</t>
        </is>
      </c>
      <c r="F91" s="11" t="n">
        <v>46023</v>
      </c>
      <c r="G91" s="3" t="n">
        <v>158.063</v>
      </c>
      <c r="H91" s="3" t="n">
        <v>178.635</v>
      </c>
      <c r="I91" s="3" t="n">
        <v>9.979991</v>
      </c>
      <c r="J91" s="3" t="n">
        <v>1.9833813</v>
      </c>
      <c r="K91" s="3" t="n">
        <v>7.9966097</v>
      </c>
      <c r="L91" s="3" t="n">
        <v>18.826874</v>
      </c>
      <c r="M91" s="3" t="n">
        <v>-0.6500869999999992</v>
      </c>
      <c r="N91" s="3" t="n">
        <v>19.476961</v>
      </c>
      <c r="O91" s="3" t="n">
        <v>18.466854</v>
      </c>
      <c r="P91" s="3" t="n">
        <v>-0.9300479999999993</v>
      </c>
      <c r="Q91" s="3" t="n">
        <v>19.396902</v>
      </c>
      <c r="R91" s="3" t="n">
        <v>18.402992</v>
      </c>
      <c r="S91" s="3" t="n">
        <v>2.160003</v>
      </c>
      <c r="T91" s="3" t="n">
        <v>16.242989</v>
      </c>
      <c r="U91" s="3" t="n">
        <v>21.556768</v>
      </c>
      <c r="V91" s="3" t="n">
        <v>43791.98</v>
      </c>
      <c r="W91" s="3" t="n">
        <v>0.8310621143765466</v>
      </c>
      <c r="X91" s="3" t="n">
        <v>0.402264921304714</v>
      </c>
      <c r="Y91" s="3" t="n">
        <v>0.5364742687706863</v>
      </c>
      <c r="Z91" s="3" t="n">
        <v>0.2712302058107765</v>
      </c>
      <c r="AA91" s="3" t="n">
        <v>-0.2296049666317778</v>
      </c>
      <c r="AB91" s="3" t="n">
        <v>-0.5938079283305475</v>
      </c>
      <c r="AC91" s="3" t="n">
        <v>-0.2877791224064272</v>
      </c>
      <c r="AD91" s="3" t="n">
        <v>-0.6102311122296485</v>
      </c>
      <c r="AE91" s="3" t="n">
        <v>8.970637999999999</v>
      </c>
      <c r="AF91" s="3" t="n">
        <v>17.32222</v>
      </c>
      <c r="AG91" s="3" t="n">
        <v>17.71607</v>
      </c>
      <c r="AH91" s="3" t="n">
        <v>17.328354</v>
      </c>
      <c r="AI91" s="3" t="n">
        <v>14.319004</v>
      </c>
      <c r="AJ91" s="3" t="n">
        <v>16.312363</v>
      </c>
      <c r="AK91" s="3" t="n">
        <v>19.5028</v>
      </c>
      <c r="AL91" s="3" t="inlineStr">
        <is>
          <t>Equity Scheme - Large &amp; Mid Cap Fund</t>
        </is>
      </c>
      <c r="AM91" s="3" t="n">
        <v>1.37</v>
      </c>
      <c r="AN91" s="3" t="n">
        <v>0</v>
      </c>
      <c r="AO91" s="3" t="n">
        <v>0.05</v>
      </c>
      <c r="AP91" s="3" t="n">
        <v>0.07000000000000001</v>
      </c>
      <c r="AQ91" s="3" t="n">
        <v>1.49</v>
      </c>
      <c r="AR91" s="3" t="n">
        <v>0.44</v>
      </c>
      <c r="AS91" s="3" t="n">
        <v>0</v>
      </c>
      <c r="AT91" s="3" t="n">
        <v>0.05</v>
      </c>
      <c r="AU91" s="3" t="n">
        <v>0.07000000000000001</v>
      </c>
      <c r="AV91" s="3" t="n">
        <v>0.5600000000000001</v>
      </c>
      <c r="AW91" s="17" t="n">
        <v>-0.6592988031141801</v>
      </c>
      <c r="AX91" t="inlineStr">
        <is>
          <t>289cr</t>
        </is>
      </c>
      <c r="AY91" s="26" t="n">
        <v>1.476740081184265</v>
      </c>
      <c r="AZ91" s="26" t="n">
        <v>1.315811393343106</v>
      </c>
      <c r="BA91" s="26" t="n">
        <v>0.5100653506675822</v>
      </c>
      <c r="BB91" s="28" t="n">
        <v>3</v>
      </c>
      <c r="BC91" t="n">
        <v>1</v>
      </c>
      <c r="BD91" t="n">
        <v>0</v>
      </c>
      <c r="BE91" t="n">
        <v>1</v>
      </c>
      <c r="BF91" t="n">
        <v>1</v>
      </c>
      <c r="BG91" t="n">
        <v>0</v>
      </c>
      <c r="BH91" t="n">
        <v>0</v>
      </c>
    </row>
    <row r="92">
      <c r="A92" s="3" t="inlineStr">
        <is>
          <t>Motilal Oswal Large and Midcap Fund</t>
        </is>
      </c>
      <c r="B92" s="3" t="inlineStr">
        <is>
          <t>large and mid cap</t>
        </is>
      </c>
      <c r="C92" s="3" t="inlineStr">
        <is>
          <t>Nifty LargeMidcap 250 TRI</t>
        </is>
      </c>
      <c r="D92" s="3" t="inlineStr">
        <is>
          <t>Very High</t>
        </is>
      </c>
      <c r="E92" s="3" t="inlineStr">
        <is>
          <t>Very High</t>
        </is>
      </c>
      <c r="F92" s="11" t="n">
        <v>46023</v>
      </c>
      <c r="G92" s="3" t="n">
        <v>33.3692</v>
      </c>
      <c r="H92" s="3" t="n">
        <v>36.5664</v>
      </c>
      <c r="I92" s="3" t="n">
        <v>-3.446127</v>
      </c>
      <c r="J92" s="3" t="n">
        <v>-11.4427367</v>
      </c>
      <c r="K92" s="3" t="n">
        <v>7.9966097</v>
      </c>
      <c r="L92" s="3" t="n">
        <v>26.138674</v>
      </c>
      <c r="M92" s="3" t="n">
        <v>6.661713000000002</v>
      </c>
      <c r="N92" s="3" t="n">
        <v>19.476961</v>
      </c>
      <c r="O92" s="3" t="n">
        <v>24.167568</v>
      </c>
      <c r="P92" s="3" t="n">
        <v>4.770665999999999</v>
      </c>
      <c r="Q92" s="3" t="n">
        <v>19.396902</v>
      </c>
      <c r="R92" s="3" t="n"/>
      <c r="S92" s="3" t="n"/>
      <c r="T92" s="3" t="n"/>
      <c r="U92" s="3" t="n">
        <v>23.202492</v>
      </c>
      <c r="V92" s="3" t="n">
        <v>15080.6</v>
      </c>
      <c r="W92" s="3" t="n">
        <v>-1.038859432012871</v>
      </c>
      <c r="X92" s="3" t="n">
        <v>-1.151139275617549</v>
      </c>
      <c r="Y92" s="3" t="n"/>
      <c r="Z92" s="3" t="n"/>
      <c r="AA92" s="3" t="n">
        <v>0.752978034273586</v>
      </c>
      <c r="AB92" s="3" t="n">
        <v>0.5923889182370631</v>
      </c>
      <c r="AC92" s="3" t="n">
        <v>0.5793272673384443</v>
      </c>
      <c r="AD92" s="3" t="n">
        <v>0.3880562318460099</v>
      </c>
      <c r="AE92" s="3" t="n">
        <v>-4.4937935</v>
      </c>
      <c r="AF92" s="3" t="n"/>
      <c r="AG92" s="3" t="n">
        <v>24.545557</v>
      </c>
      <c r="AH92" s="3" t="n">
        <v>22.437376</v>
      </c>
      <c r="AI92" s="3" t="n">
        <v>20.200422</v>
      </c>
      <c r="AJ92" s="3" t="n">
        <v>20.200422</v>
      </c>
      <c r="AK92" s="3" t="n">
        <v>21.40163</v>
      </c>
      <c r="AL92" s="3" t="inlineStr">
        <is>
          <t>Equity Scheme - Large &amp; Mid Cap Fund</t>
        </is>
      </c>
      <c r="AM92" s="3" t="n">
        <v>1.56</v>
      </c>
      <c r="AN92" s="3" t="n">
        <v>0</v>
      </c>
      <c r="AO92" s="3" t="n">
        <v>0.05</v>
      </c>
      <c r="AP92" s="3" t="n">
        <v>0.08</v>
      </c>
      <c r="AQ92" s="3" t="n">
        <v>1.69</v>
      </c>
      <c r="AR92" s="3" t="n">
        <v>0.58</v>
      </c>
      <c r="AS92" s="3" t="n">
        <v>0</v>
      </c>
      <c r="AT92" s="3" t="n">
        <v>0.05</v>
      </c>
      <c r="AU92" s="3" t="n">
        <v>0.08</v>
      </c>
      <c r="AV92" s="3" t="n">
        <v>0.71</v>
      </c>
      <c r="AW92" s="17" t="n">
        <v>0.5997771971937383</v>
      </c>
      <c r="AX92" s="18" t="inlineStr">
        <is>
          <t>-90cr</t>
        </is>
      </c>
      <c r="AY92" s="26" t="n">
        <v>2.21642164773818</v>
      </c>
      <c r="AZ92" s="26" t="n">
        <v>1.315811393343106</v>
      </c>
      <c r="BA92" s="26" t="n">
        <v>0.83814699230027</v>
      </c>
      <c r="BB92" s="28" t="n">
        <v>2</v>
      </c>
      <c r="BC92" t="n">
        <v>0</v>
      </c>
      <c r="BD92" t="n">
        <v>1</v>
      </c>
      <c r="BE92" t="n">
        <v>1</v>
      </c>
      <c r="BF92" t="n">
        <v>0</v>
      </c>
      <c r="BG92" t="n">
        <v>0</v>
      </c>
      <c r="BH92" t="n">
        <v>0</v>
      </c>
    </row>
    <row r="93">
      <c r="A93" s="3" t="inlineStr">
        <is>
          <t>Navi Large &amp; Midcap Fund</t>
        </is>
      </c>
      <c r="B93" s="3" t="inlineStr">
        <is>
          <t>large and mid cap</t>
        </is>
      </c>
      <c r="C93" s="3" t="inlineStr">
        <is>
          <t>Nifty LargeMidcap 250 TRI</t>
        </is>
      </c>
      <c r="D93" s="3" t="inlineStr">
        <is>
          <t>Very High</t>
        </is>
      </c>
      <c r="E93" s="3" t="inlineStr">
        <is>
          <t>Very High</t>
        </is>
      </c>
      <c r="F93" s="11" t="n">
        <v>46023</v>
      </c>
      <c r="G93" s="3" t="n">
        <v>36.0467</v>
      </c>
      <c r="H93" s="3" t="n">
        <v>43.4533</v>
      </c>
      <c r="I93" s="3" t="n">
        <v>3.0043213</v>
      </c>
      <c r="J93" s="3" t="n">
        <v>-4.9922884</v>
      </c>
      <c r="K93" s="3" t="n">
        <v>7.9966097</v>
      </c>
      <c r="L93" s="3" t="n">
        <v>15.531117</v>
      </c>
      <c r="M93" s="3" t="n">
        <v>-3.945843999999999</v>
      </c>
      <c r="N93" s="3" t="n">
        <v>19.476961</v>
      </c>
      <c r="O93" s="3" t="n">
        <v>18.145182</v>
      </c>
      <c r="P93" s="3" t="n">
        <v>-1.251720000000002</v>
      </c>
      <c r="Q93" s="3" t="n">
        <v>19.396902</v>
      </c>
      <c r="R93" s="3" t="n">
        <v>15.4825945</v>
      </c>
      <c r="S93" s="3" t="n">
        <v>-0.7603945000000021</v>
      </c>
      <c r="T93" s="3" t="n">
        <v>16.242989</v>
      </c>
      <c r="U93" s="3" t="n">
        <v>15.695525</v>
      </c>
      <c r="V93" s="3" t="n">
        <v>316.55</v>
      </c>
      <c r="W93" s="3" t="n">
        <v>-1.573162457496325</v>
      </c>
      <c r="X93" s="3" t="n">
        <v>-2.187626053985607</v>
      </c>
      <c r="Y93" s="3" t="n">
        <v>-0.1694874534132344</v>
      </c>
      <c r="Z93" s="3" t="n">
        <v>-0.5720612561509402</v>
      </c>
      <c r="AA93" s="3" t="n">
        <v>-0.9088429229138407</v>
      </c>
      <c r="AB93" s="3" t="n">
        <v>-1.399064672076505</v>
      </c>
      <c r="AC93" s="3" t="n">
        <v>-0.2958127658710973</v>
      </c>
      <c r="AD93" s="3" t="n">
        <v>-0.80377041668507</v>
      </c>
      <c r="AE93" s="3" t="n">
        <v>1.1363094</v>
      </c>
      <c r="AF93" s="3" t="n">
        <v>13.362637</v>
      </c>
      <c r="AG93" s="3" t="n">
        <v>13.3925295</v>
      </c>
      <c r="AH93" s="3" t="n">
        <v>15.887907</v>
      </c>
      <c r="AI93" s="3" t="n">
        <v>16.426947</v>
      </c>
      <c r="AJ93" s="3" t="n">
        <v>16.426947</v>
      </c>
      <c r="AK93" s="3" t="n">
        <v>13.5697365</v>
      </c>
      <c r="AL93" s="3" t="inlineStr">
        <is>
          <t>Equity Scheme - Large &amp; Mid Cap Fund</t>
        </is>
      </c>
      <c r="AM93" s="3" t="n">
        <v>2.25</v>
      </c>
      <c r="AN93" s="3" t="n">
        <v>0</v>
      </c>
      <c r="AO93" s="3" t="n">
        <v>0</v>
      </c>
      <c r="AP93" s="3" t="n">
        <v>0.01</v>
      </c>
      <c r="AQ93" s="3" t="n">
        <v>2.26</v>
      </c>
      <c r="AR93" s="3" t="n">
        <v>0.51</v>
      </c>
      <c r="AS93" s="3" t="n">
        <v>0</v>
      </c>
      <c r="AT93" s="3" t="n">
        <v>0</v>
      </c>
      <c r="AU93" s="3" t="n">
        <v>0.01</v>
      </c>
      <c r="AV93" s="3" t="n">
        <v>0.52</v>
      </c>
      <c r="AW93" s="17" t="n">
        <v>0.8655820565471518</v>
      </c>
      <c r="AX93" s="18" t="inlineStr">
        <is>
          <t>-3cr</t>
        </is>
      </c>
      <c r="AY93" s="26" t="n">
        <v>1.263668246379127</v>
      </c>
      <c r="AZ93" s="26" t="n">
        <v>1.315811393343106</v>
      </c>
      <c r="BA93" s="26" t="n">
        <v>0.5401847104804066</v>
      </c>
      <c r="BB93" s="28" t="n">
        <v>3</v>
      </c>
      <c r="BC93" t="n">
        <v>0</v>
      </c>
      <c r="BD93" t="n">
        <v>1</v>
      </c>
      <c r="BE93" t="n">
        <v>1</v>
      </c>
      <c r="BF93" t="n">
        <v>0</v>
      </c>
      <c r="BG93" t="n">
        <v>0</v>
      </c>
      <c r="BH93" t="n">
        <v>1</v>
      </c>
    </row>
    <row r="94">
      <c r="A94" s="3" t="inlineStr">
        <is>
          <t>Nippon India Vision Large &amp; Mid Cap Fund</t>
        </is>
      </c>
      <c r="B94" s="3" t="inlineStr">
        <is>
          <t>large and mid cap</t>
        </is>
      </c>
      <c r="C94" s="3" t="inlineStr">
        <is>
          <t>Nifty LargeMidcap 250 TRI</t>
        </is>
      </c>
      <c r="D94" s="3" t="inlineStr">
        <is>
          <t>Very High</t>
        </is>
      </c>
      <c r="E94" s="3" t="inlineStr">
        <is>
          <t>Very High</t>
        </is>
      </c>
      <c r="F94" s="11" t="n">
        <v>46023</v>
      </c>
      <c r="G94" s="3" t="n">
        <v>1506.6381</v>
      </c>
      <c r="H94" s="3" t="n">
        <v>1624.6017</v>
      </c>
      <c r="I94" s="3" t="n">
        <v>5.8883467</v>
      </c>
      <c r="J94" s="3" t="n">
        <v>-2.108263</v>
      </c>
      <c r="K94" s="3" t="n">
        <v>7.9966097</v>
      </c>
      <c r="L94" s="3" t="n">
        <v>21.90833</v>
      </c>
      <c r="M94" s="3" t="n">
        <v>2.431369</v>
      </c>
      <c r="N94" s="3" t="n">
        <v>19.476961</v>
      </c>
      <c r="O94" s="3" t="n">
        <v>20.03947</v>
      </c>
      <c r="P94" s="3" t="n">
        <v>0.6425680000000007</v>
      </c>
      <c r="Q94" s="3" t="n">
        <v>19.396902</v>
      </c>
      <c r="R94" s="3" t="n">
        <v>14.199508</v>
      </c>
      <c r="S94" s="3" t="n">
        <v>-2.043481000000002</v>
      </c>
      <c r="T94" s="3" t="n">
        <v>16.242989</v>
      </c>
      <c r="U94" s="3" t="n">
        <v>14.6547575</v>
      </c>
      <c r="V94" s="3" t="n">
        <v>6923.48</v>
      </c>
      <c r="W94" s="3" t="n">
        <v>-0.8117379355851537</v>
      </c>
      <c r="X94" s="3" t="n">
        <v>-1.064899913980144</v>
      </c>
      <c r="Y94" s="3" t="n">
        <v>-0.3525076226994161</v>
      </c>
      <c r="Z94" s="3" t="n">
        <v>-0.4772670901445898</v>
      </c>
      <c r="AA94" s="3" t="n">
        <v>0.7738670842292527</v>
      </c>
      <c r="AB94" s="3" t="n">
        <v>0.5630891227784099</v>
      </c>
      <c r="AC94" s="3" t="n">
        <v>0.1977560131480697</v>
      </c>
      <c r="AD94" s="3" t="n">
        <v>-0.001545313813203449</v>
      </c>
      <c r="AE94" s="3" t="n">
        <v>5.234814</v>
      </c>
      <c r="AF94" s="3" t="n">
        <v>13.54662</v>
      </c>
      <c r="AG94" s="3" t="n">
        <v>21.248419</v>
      </c>
      <c r="AH94" s="3" t="n">
        <v>19.414124</v>
      </c>
      <c r="AI94" s="3" t="n"/>
      <c r="AJ94" s="3" t="n">
        <v>16.312363</v>
      </c>
      <c r="AK94" s="3" t="n">
        <v>18.029043</v>
      </c>
      <c r="AL94" s="3" t="inlineStr">
        <is>
          <t>Equity Scheme - Large &amp; Mid Cap Fund</t>
        </is>
      </c>
      <c r="AM94" s="3" t="n">
        <v>1.66</v>
      </c>
      <c r="AN94" s="3" t="n">
        <v>0</v>
      </c>
      <c r="AO94" s="3" t="n">
        <v>0.05</v>
      </c>
      <c r="AP94" s="3" t="n">
        <v>0.17</v>
      </c>
      <c r="AQ94" s="3" t="n">
        <v>1.88</v>
      </c>
      <c r="AR94" s="3" t="n">
        <v>0.95</v>
      </c>
      <c r="AS94" s="3" t="n">
        <v>0</v>
      </c>
      <c r="AT94" s="3" t="n">
        <v>0.05</v>
      </c>
      <c r="AU94" s="3" t="n">
        <v>0.17</v>
      </c>
      <c r="AV94" s="3" t="n">
        <v>1.17</v>
      </c>
      <c r="AW94" s="17" t="n">
        <v>-0.9160133343347445</v>
      </c>
      <c r="AX94" t="inlineStr">
        <is>
          <t>63cr</t>
        </is>
      </c>
      <c r="AY94" s="26" t="n">
        <v>0.9700072930709999</v>
      </c>
      <c r="AZ94" s="26" t="n">
        <v>1.315811393343106</v>
      </c>
      <c r="BA94" s="26" t="n">
        <v>0.5621403968797958</v>
      </c>
      <c r="BB94" s="28" t="n">
        <v>2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</row>
    <row r="95">
      <c r="A95" s="3" t="inlineStr">
        <is>
          <t>PGIM India Large and Midcap Fund</t>
        </is>
      </c>
      <c r="B95" s="3" t="inlineStr">
        <is>
          <t>large and mid cap</t>
        </is>
      </c>
      <c r="C95" s="3" t="inlineStr">
        <is>
          <t>Nifty LargeMidcap 250 TRI</t>
        </is>
      </c>
      <c r="D95" s="3" t="inlineStr">
        <is>
          <t>Very High</t>
        </is>
      </c>
      <c r="E95" s="3" t="inlineStr">
        <is>
          <t>Very High</t>
        </is>
      </c>
      <c r="F95" s="11" t="n">
        <v>46023</v>
      </c>
      <c r="G95" s="3" t="n">
        <v>12.54</v>
      </c>
      <c r="H95" s="3" t="n">
        <v>12.96</v>
      </c>
      <c r="I95" s="3" t="n">
        <v>5.6234717</v>
      </c>
      <c r="J95" s="3" t="n">
        <v>-2.373138</v>
      </c>
      <c r="K95" s="3" t="n">
        <v>7.9966097</v>
      </c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>
        <v>14.723626</v>
      </c>
      <c r="V95" s="3" t="n">
        <v>812.8099999999999</v>
      </c>
      <c r="W95" s="3" t="n">
        <v>-0.5815169492169182</v>
      </c>
      <c r="X95" s="3" t="n">
        <v>-1.003969534562692</v>
      </c>
      <c r="Y95" s="3" t="n"/>
      <c r="Z95" s="3" t="n"/>
      <c r="AA95" s="3" t="n"/>
      <c r="AB95" s="3" t="n"/>
      <c r="AC95" s="3" t="n"/>
      <c r="AD95" s="3" t="n"/>
      <c r="AE95" s="3" t="n">
        <v>3.893952</v>
      </c>
      <c r="AF95" s="3" t="n"/>
      <c r="AG95" s="3" t="n"/>
      <c r="AH95" s="3" t="n"/>
      <c r="AI95" s="3" t="n">
        <v>13.24711</v>
      </c>
      <c r="AJ95" s="3" t="n">
        <v>13.24711</v>
      </c>
      <c r="AK95" s="3" t="n">
        <v>12.738809</v>
      </c>
      <c r="AL95" s="3" t="inlineStr">
        <is>
          <t>Equity Scheme - Large &amp; Mid Cap Fund</t>
        </is>
      </c>
      <c r="AM95" s="3" t="n">
        <v>2.15</v>
      </c>
      <c r="AN95" s="3" t="n">
        <v>0</v>
      </c>
      <c r="AO95" s="3" t="n">
        <v>0.05</v>
      </c>
      <c r="AP95" s="3" t="n">
        <v>0.08</v>
      </c>
      <c r="AQ95" s="3" t="n">
        <v>2.28</v>
      </c>
      <c r="AR95" s="3" t="n">
        <v>0.49</v>
      </c>
      <c r="AS95" s="3" t="n">
        <v>0</v>
      </c>
      <c r="AT95" s="3" t="n">
        <v>0.05</v>
      </c>
      <c r="AU95" s="3" t="n">
        <v>0.08</v>
      </c>
      <c r="AV95" s="3" t="n">
        <v>0.62</v>
      </c>
      <c r="AW95" s="17" t="n">
        <v>0.2682053616466412</v>
      </c>
      <c r="AX95" s="18" t="inlineStr">
        <is>
          <t>-2cr</t>
        </is>
      </c>
      <c r="AY95" s="26" t="n">
        <v>1.075094114374541</v>
      </c>
      <c r="AZ95" s="26" t="n">
        <v>1.315811393343106</v>
      </c>
      <c r="BA95" s="26" t="n">
        <v>0.5635080929224466</v>
      </c>
      <c r="BB95" s="28" t="n">
        <v>4</v>
      </c>
      <c r="BC95" t="n">
        <v>1</v>
      </c>
      <c r="BD95" t="n">
        <v>1</v>
      </c>
      <c r="BE95" t="n">
        <v>1</v>
      </c>
      <c r="BF95" t="n">
        <v>0</v>
      </c>
      <c r="BG95" t="n">
        <v>0</v>
      </c>
      <c r="BH95" t="n">
        <v>1</v>
      </c>
    </row>
    <row r="96">
      <c r="A96" s="3" t="inlineStr">
        <is>
          <t>Tata Large &amp; Mid Cap Fund</t>
        </is>
      </c>
      <c r="B96" s="3" t="inlineStr">
        <is>
          <t>large and mid cap</t>
        </is>
      </c>
      <c r="C96" s="3" t="inlineStr">
        <is>
          <t>Nifty LargeMidcap 250 TRI</t>
        </is>
      </c>
      <c r="D96" s="3" t="inlineStr">
        <is>
          <t>Very High</t>
        </is>
      </c>
      <c r="E96" s="3" t="inlineStr">
        <is>
          <t>Very High</t>
        </is>
      </c>
      <c r="F96" s="11" t="n">
        <v>46023</v>
      </c>
      <c r="G96" s="3" t="n">
        <v>525.278</v>
      </c>
      <c r="H96" s="3" t="n">
        <v>601.9848</v>
      </c>
      <c r="I96" s="3" t="n">
        <v>3.036134</v>
      </c>
      <c r="J96" s="3" t="n">
        <v>-4.9604757</v>
      </c>
      <c r="K96" s="3" t="n">
        <v>7.9966097</v>
      </c>
      <c r="L96" s="3" t="n">
        <v>14.410409</v>
      </c>
      <c r="M96" s="3" t="n">
        <v>-5.066552</v>
      </c>
      <c r="N96" s="3" t="n">
        <v>19.476961</v>
      </c>
      <c r="O96" s="3" t="n">
        <v>16.922508</v>
      </c>
      <c r="P96" s="3" t="n">
        <v>-2.474394</v>
      </c>
      <c r="Q96" s="3" t="n">
        <v>19.396902</v>
      </c>
      <c r="R96" s="3" t="n">
        <v>14.350208</v>
      </c>
      <c r="S96" s="3" t="n">
        <v>-1.892781000000001</v>
      </c>
      <c r="T96" s="3" t="n">
        <v>16.242989</v>
      </c>
      <c r="U96" s="3" t="n">
        <v>15.825567</v>
      </c>
      <c r="V96" s="3" t="n">
        <v>8684.73</v>
      </c>
      <c r="W96" s="3" t="n">
        <v>-1.310809291081847</v>
      </c>
      <c r="X96" s="3" t="n">
        <v>-1.615362364082441</v>
      </c>
      <c r="Y96" s="3" t="n">
        <v>-0.4257648838114985</v>
      </c>
      <c r="Z96" s="3" t="n">
        <v>-0.686622234157458</v>
      </c>
      <c r="AA96" s="3" t="n">
        <v>-1.195093483384109</v>
      </c>
      <c r="AB96" s="3" t="n">
        <v>-1.48789322785136</v>
      </c>
      <c r="AC96" s="3" t="n">
        <v>-0.5388407845648289</v>
      </c>
      <c r="AD96" s="3" t="n">
        <v>-0.7974064282474239</v>
      </c>
      <c r="AE96" s="3" t="n">
        <v>1.8712672</v>
      </c>
      <c r="AF96" s="3" t="n">
        <v>13.107335</v>
      </c>
      <c r="AG96" s="3" t="n">
        <v>13.1594095</v>
      </c>
      <c r="AH96" s="3" t="n">
        <v>15.646074</v>
      </c>
      <c r="AI96" s="3" t="n"/>
      <c r="AJ96" s="3" t="n">
        <v>16.312363</v>
      </c>
      <c r="AK96" s="3" t="n">
        <v>20.484903</v>
      </c>
      <c r="AL96" s="3" t="inlineStr">
        <is>
          <t>Equity Scheme - Large &amp; Mid Cap Fund</t>
        </is>
      </c>
      <c r="AM96" s="3" t="n">
        <v>1.63</v>
      </c>
      <c r="AN96" s="3" t="n">
        <v>0</v>
      </c>
      <c r="AO96" s="3" t="n">
        <v>0.05</v>
      </c>
      <c r="AP96" s="3" t="n">
        <v>0.1</v>
      </c>
      <c r="AQ96" s="3" t="n">
        <v>1.78</v>
      </c>
      <c r="AR96" s="3" t="n">
        <v>0.57</v>
      </c>
      <c r="AS96" s="3" t="n">
        <v>0</v>
      </c>
      <c r="AT96" s="3" t="n">
        <v>0.05</v>
      </c>
      <c r="AU96" s="3" t="n">
        <v>0.1</v>
      </c>
      <c r="AV96" s="3" t="n">
        <v>0.72</v>
      </c>
      <c r="AW96" s="17" t="n">
        <v>0.8658875981176241</v>
      </c>
      <c r="AX96" s="18" t="inlineStr">
        <is>
          <t>-75cr</t>
        </is>
      </c>
      <c r="AY96" s="26" t="n">
        <v>1.078109207229006</v>
      </c>
      <c r="AZ96" s="26" t="n">
        <v>1.315811393343106</v>
      </c>
      <c r="BA96" s="26" t="n">
        <v>0.5294089035641621</v>
      </c>
      <c r="BB96" s="28" t="n">
        <v>2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1</v>
      </c>
    </row>
    <row r="97">
      <c r="A97" s="3" t="inlineStr">
        <is>
          <t>WhiteOak Capital Large &amp; Mid Cap Fund</t>
        </is>
      </c>
      <c r="B97" s="3" t="inlineStr">
        <is>
          <t>large and mid cap</t>
        </is>
      </c>
      <c r="C97" s="3" t="inlineStr">
        <is>
          <t>BSE 250 Large MidCap TRI</t>
        </is>
      </c>
      <c r="D97" s="3" t="inlineStr">
        <is>
          <t>Very High</t>
        </is>
      </c>
      <c r="E97" s="3" t="inlineStr">
        <is>
          <t>Very High</t>
        </is>
      </c>
      <c r="F97" s="11" t="n">
        <v>46023</v>
      </c>
      <c r="G97" s="3" t="n">
        <v>13.609</v>
      </c>
      <c r="H97" s="3" t="n">
        <v>14.062</v>
      </c>
      <c r="I97" s="3" t="n">
        <v>7.7382774</v>
      </c>
      <c r="J97" s="3" t="n">
        <v>-1.0275626</v>
      </c>
      <c r="K97" s="3" t="n">
        <v>8.765840000000001</v>
      </c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>
        <v>18.28364</v>
      </c>
      <c r="V97" s="3" t="n">
        <v>2077.92</v>
      </c>
      <c r="W97" s="3" t="n">
        <v>-0.2292841149986796</v>
      </c>
      <c r="X97" s="3" t="n">
        <v>-0.6513768822806209</v>
      </c>
      <c r="Y97" s="3" t="n"/>
      <c r="Z97" s="3" t="n"/>
      <c r="AA97" s="3" t="n"/>
      <c r="AB97" s="3" t="n"/>
      <c r="AC97" s="3" t="n"/>
      <c r="AD97" s="3" t="n"/>
      <c r="AE97" s="3" t="n">
        <v>6.129611</v>
      </c>
      <c r="AF97" s="3" t="n"/>
      <c r="AG97" s="3" t="n"/>
      <c r="AH97" s="3" t="n"/>
      <c r="AI97" s="3" t="n">
        <v>12.933214</v>
      </c>
      <c r="AJ97" s="3" t="n">
        <v>12.933214</v>
      </c>
      <c r="AK97" s="3" t="n">
        <v>16.391106</v>
      </c>
      <c r="AL97" s="3" t="inlineStr">
        <is>
          <t>Equity Scheme - Large &amp; Mid Cap Fund</t>
        </is>
      </c>
      <c r="AM97" s="3" t="n">
        <v>1.9</v>
      </c>
      <c r="AN97" s="3" t="n">
        <v>0</v>
      </c>
      <c r="AO97" s="3" t="n">
        <v>0.05</v>
      </c>
      <c r="AP97" s="3" t="n">
        <v>0.07000000000000001</v>
      </c>
      <c r="AQ97" s="3" t="n">
        <v>2.02</v>
      </c>
      <c r="AR97" s="3" t="n">
        <v>0.45</v>
      </c>
      <c r="AS97" s="3" t="n">
        <v>0</v>
      </c>
      <c r="AT97" s="3" t="n">
        <v>0.05</v>
      </c>
      <c r="AU97" s="3" t="n">
        <v>0.07000000000000001</v>
      </c>
      <c r="AV97" s="3" t="n">
        <v>0.57</v>
      </c>
      <c r="AW97" s="17" t="n">
        <v>-1.615076615076623</v>
      </c>
      <c r="AX97" t="inlineStr">
        <is>
          <t>34cr</t>
        </is>
      </c>
      <c r="AY97" s="26" t="n">
        <v>1.485424527412893</v>
      </c>
      <c r="AZ97" s="26" t="n">
        <v>1.315811393343106</v>
      </c>
      <c r="BA97" s="26" t="n">
        <v>0.5108813908300662</v>
      </c>
      <c r="BB97" s="28" t="n">
        <v>2</v>
      </c>
      <c r="BC97" t="n">
        <v>1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</row>
    <row r="98">
      <c r="A98" s="15" t="inlineStr">
        <is>
          <t>category_avg_L&amp;M</t>
        </is>
      </c>
      <c r="B98" s="15" t="n"/>
      <c r="C98" s="15" t="n"/>
      <c r="D98" s="15" t="n"/>
      <c r="E98" s="15" t="n"/>
      <c r="F98" s="16" t="n"/>
      <c r="G98" s="15" t="n"/>
      <c r="H98" s="15" t="n"/>
      <c r="I98" s="27" t="n">
        <v>5.529282456090909</v>
      </c>
      <c r="K98" s="27" t="n">
        <v>8.066539727272728</v>
      </c>
      <c r="L98" s="27" t="n">
        <v>20.02260947058824</v>
      </c>
      <c r="N98" s="27" t="n">
        <v>19.27952070588235</v>
      </c>
      <c r="O98" s="27" t="n">
        <v>19.60173547058824</v>
      </c>
      <c r="Q98" s="27" t="n">
        <v>19.21794188235294</v>
      </c>
      <c r="R98" s="27" t="n">
        <v>15.81219046428571</v>
      </c>
      <c r="T98" s="27" t="n">
        <v>16.14077207142858</v>
      </c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>
        <f>AVERAGE(AA75:AA97)</f>
        <v/>
      </c>
      <c r="AF98" s="15">
        <f>AVERAGE(AB75:AB97)</f>
        <v/>
      </c>
      <c r="AG98" s="15">
        <f>AVERAGE(AC75:AC97)</f>
        <v/>
      </c>
      <c r="AH98" s="15">
        <f>AVERAGE(AD75:AD97)</f>
        <v/>
      </c>
      <c r="AI98" s="15">
        <f>AVERAGE(AE75:AE97)</f>
        <v/>
      </c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  <c r="AS98" s="15" t="n"/>
      <c r="AT98" s="15" t="n"/>
      <c r="AU98" s="15" t="n"/>
      <c r="AV98" s="25" t="n">
        <v>0.7156521739130435</v>
      </c>
      <c r="AZ98" s="26" t="n">
        <v>1.315811310341071</v>
      </c>
    </row>
    <row r="99">
      <c r="A99" s="4" t="inlineStr">
        <is>
          <t>Aditya Birla Sun Life Large Cap Fund</t>
        </is>
      </c>
      <c r="B99" s="4" t="inlineStr">
        <is>
          <t>large cap</t>
        </is>
      </c>
      <c r="C99" s="4" t="inlineStr">
        <is>
          <t>Nifty 100 TRI</t>
        </is>
      </c>
      <c r="D99" s="4" t="inlineStr">
        <is>
          <t>Very High</t>
        </is>
      </c>
      <c r="E99" s="4" t="inlineStr">
        <is>
          <t>Very High</t>
        </is>
      </c>
      <c r="F99" s="12" t="n">
        <v>46023</v>
      </c>
      <c r="G99" s="4" t="n">
        <v>549.5700000000001</v>
      </c>
      <c r="H99" s="4" t="n">
        <v>609.17</v>
      </c>
      <c r="I99" s="4" t="n">
        <v>10.077702</v>
      </c>
      <c r="J99" s="4" t="n">
        <v>0.1498260000000009</v>
      </c>
      <c r="K99" s="4" t="n">
        <v>9.927875999999999</v>
      </c>
      <c r="L99" s="4" t="n">
        <v>16.727621</v>
      </c>
      <c r="M99" s="4" t="n">
        <v>2.007036999999999</v>
      </c>
      <c r="N99" s="4" t="n">
        <v>14.720584</v>
      </c>
      <c r="O99" s="4" t="n">
        <v>16.348297</v>
      </c>
      <c r="P99" s="4" t="n">
        <v>1.498994999999999</v>
      </c>
      <c r="Q99" s="4" t="n">
        <v>14.849302</v>
      </c>
      <c r="R99" s="4" t="n">
        <v>14.042624</v>
      </c>
      <c r="S99" s="4" t="n">
        <v>0.03593099999999971</v>
      </c>
      <c r="T99" s="4" t="n">
        <v>14.006693</v>
      </c>
      <c r="U99" s="4" t="n">
        <v>14.832031</v>
      </c>
      <c r="V99" s="4" t="n">
        <v>31474.08</v>
      </c>
      <c r="W99" s="4" t="n">
        <v>0.01442404897760295</v>
      </c>
      <c r="X99" s="4" t="n">
        <v>-0.3383028080903051</v>
      </c>
      <c r="Y99" s="4" t="n">
        <v>-0.02807083502820335</v>
      </c>
      <c r="Z99" s="4" t="n">
        <v>-0.3344889930151128</v>
      </c>
      <c r="AA99" s="4" t="n">
        <v>0.8135163444078256</v>
      </c>
      <c r="AB99" s="4" t="n">
        <v>0.4824768854090037</v>
      </c>
      <c r="AC99" s="4" t="n">
        <v>0.5377039083118738</v>
      </c>
      <c r="AD99" s="4" t="n">
        <v>0.2374734071220382</v>
      </c>
      <c r="AE99" s="4" t="n">
        <v>9.351931</v>
      </c>
      <c r="AF99" s="4" t="n">
        <v>13.161433</v>
      </c>
      <c r="AG99" s="4" t="n">
        <v>15.952558</v>
      </c>
      <c r="AH99" s="4" t="n">
        <v>15.574843</v>
      </c>
      <c r="AI99" s="4" t="n"/>
      <c r="AJ99" s="4" t="n">
        <v>13.635086</v>
      </c>
      <c r="AK99" s="4" t="n">
        <v>18.713339</v>
      </c>
      <c r="AL99" s="4" t="inlineStr">
        <is>
          <t>Equity Scheme - Large Cap Fund</t>
        </is>
      </c>
      <c r="AM99" s="4" t="n">
        <v>1.44</v>
      </c>
      <c r="AN99" s="4" t="n">
        <v>0</v>
      </c>
      <c r="AO99" s="4" t="n">
        <v>0.05</v>
      </c>
      <c r="AP99" s="4" t="n">
        <v>0.14</v>
      </c>
      <c r="AQ99" s="4" t="n">
        <v>1.63</v>
      </c>
      <c r="AR99" s="4" t="n">
        <v>0.78</v>
      </c>
      <c r="AS99" s="4" t="n">
        <v>0</v>
      </c>
      <c r="AT99" s="4" t="n">
        <v>0.05</v>
      </c>
      <c r="AU99" s="4" t="n">
        <v>0.14</v>
      </c>
      <c r="AV99" s="4" t="n">
        <v>0.97</v>
      </c>
      <c r="AW99" s="17" t="n">
        <v>-0.2275205502432496</v>
      </c>
      <c r="AX99" t="inlineStr">
        <is>
          <t>72cr</t>
        </is>
      </c>
      <c r="AY99" s="26" t="n">
        <v>1.411451586424121</v>
      </c>
      <c r="AZ99" s="26" t="n">
        <v>1.334652495697384</v>
      </c>
      <c r="BA99" s="26" t="n">
        <v>0.4622365896671788</v>
      </c>
      <c r="BB99" s="28" t="n">
        <v>2</v>
      </c>
      <c r="BC99" t="n">
        <v>1</v>
      </c>
      <c r="BD99" t="n">
        <v>0</v>
      </c>
      <c r="BE99" t="n">
        <v>0</v>
      </c>
      <c r="BF99" t="n">
        <v>1</v>
      </c>
      <c r="BG99" t="n">
        <v>0</v>
      </c>
      <c r="BH99" t="n">
        <v>0</v>
      </c>
    </row>
    <row r="100">
      <c r="A100" s="4" t="inlineStr">
        <is>
          <t>Axis Large Cap Fund</t>
        </is>
      </c>
      <c r="B100" s="4" t="inlineStr">
        <is>
          <t>large cap</t>
        </is>
      </c>
      <c r="C100" s="4" t="inlineStr">
        <is>
          <t>BSE 100 TRI</t>
        </is>
      </c>
      <c r="D100" s="4" t="inlineStr">
        <is>
          <t>Very High</t>
        </is>
      </c>
      <c r="E100" s="4" t="inlineStr">
        <is>
          <t>Very High</t>
        </is>
      </c>
      <c r="F100" s="12" t="n">
        <v>46023</v>
      </c>
      <c r="G100" s="4" t="n">
        <v>62.2</v>
      </c>
      <c r="H100" s="4" t="n">
        <v>71.83</v>
      </c>
      <c r="I100" s="4" t="n">
        <v>7.1609726</v>
      </c>
      <c r="J100" s="4" t="n">
        <v>-2.9880424</v>
      </c>
      <c r="K100" s="4" t="n">
        <v>10.149015</v>
      </c>
      <c r="L100" s="4" t="n">
        <v>13.488987</v>
      </c>
      <c r="M100" s="4" t="n">
        <v>-2.058548</v>
      </c>
      <c r="N100" s="4" t="n">
        <v>15.547535</v>
      </c>
      <c r="O100" s="4" t="n">
        <v>11.212297</v>
      </c>
      <c r="P100" s="4" t="n">
        <v>-4.385335000000001</v>
      </c>
      <c r="Q100" s="4" t="n">
        <v>15.597632</v>
      </c>
      <c r="R100" s="4" t="n">
        <v>13.747021</v>
      </c>
      <c r="S100" s="4" t="n">
        <v>-0.6582349999999995</v>
      </c>
      <c r="T100" s="4" t="n">
        <v>14.405256</v>
      </c>
      <c r="U100" s="4" t="n">
        <v>14.546918</v>
      </c>
      <c r="V100" s="4" t="n">
        <v>33538.57</v>
      </c>
      <c r="W100" s="4" t="n">
        <v>-1.052977682138955</v>
      </c>
      <c r="X100" s="4" t="n">
        <v>-1.375317829606479</v>
      </c>
      <c r="Y100" s="4" t="n">
        <v>-0.1860594901947001</v>
      </c>
      <c r="Z100" s="4" t="n">
        <v>-0.4356233037829763</v>
      </c>
      <c r="AA100" s="4" t="n">
        <v>-0.6326303304966364</v>
      </c>
      <c r="AB100" s="4" t="n">
        <v>-0.9279964728507082</v>
      </c>
      <c r="AC100" s="4" t="n">
        <v>-1.163908169080733</v>
      </c>
      <c r="AD100" s="4" t="n">
        <v>-1.453835529648292</v>
      </c>
      <c r="AE100" s="4" t="n">
        <v>6.233988</v>
      </c>
      <c r="AF100" s="4" t="n">
        <v>12.497484</v>
      </c>
      <c r="AG100" s="4" t="n">
        <v>12.476683</v>
      </c>
      <c r="AH100" s="4" t="n">
        <v>10.1092205</v>
      </c>
      <c r="AI100" s="4" t="n">
        <v>12.141356</v>
      </c>
      <c r="AJ100" s="4" t="n">
        <v>13.800322</v>
      </c>
      <c r="AK100" s="4" t="n">
        <v>12.101623</v>
      </c>
      <c r="AL100" s="4" t="inlineStr">
        <is>
          <t>Equity Scheme - Large Cap Fund</t>
        </is>
      </c>
      <c r="AM100" s="4" t="n">
        <v>1.43</v>
      </c>
      <c r="AN100" s="4" t="n">
        <v>0</v>
      </c>
      <c r="AO100" s="4" t="n">
        <v>0.05</v>
      </c>
      <c r="AP100" s="4" t="n">
        <v>0.1</v>
      </c>
      <c r="AQ100" s="4" t="n">
        <v>1.58</v>
      </c>
      <c r="AR100" s="4" t="n">
        <v>0.57</v>
      </c>
      <c r="AS100" s="4" t="n">
        <v>0</v>
      </c>
      <c r="AT100" s="4" t="n">
        <v>0.05</v>
      </c>
      <c r="AU100" s="4" t="n">
        <v>0.1</v>
      </c>
      <c r="AV100" s="4" t="n">
        <v>0.72</v>
      </c>
      <c r="AW100" s="17" t="n">
        <v>1.583997171018323</v>
      </c>
      <c r="AX100" s="18" t="inlineStr">
        <is>
          <t>-531cr</t>
        </is>
      </c>
      <c r="AY100" s="26" t="n">
        <v>1.096612243762078</v>
      </c>
      <c r="AZ100" s="26" t="n">
        <v>1.334652495697384</v>
      </c>
      <c r="BA100" s="26" t="n">
        <v>0.4600956170758226</v>
      </c>
      <c r="BB100" s="28" t="n">
        <v>3</v>
      </c>
      <c r="BC100" t="n">
        <v>0</v>
      </c>
      <c r="BD100" t="n">
        <v>1</v>
      </c>
      <c r="BE100" t="n">
        <v>1</v>
      </c>
      <c r="BF100" t="n">
        <v>0</v>
      </c>
      <c r="BG100" t="n">
        <v>0</v>
      </c>
      <c r="BH100" t="n">
        <v>1</v>
      </c>
    </row>
    <row r="101">
      <c r="A101" s="4" t="inlineStr">
        <is>
          <t>Bajaj Finserv Large Cap Fund</t>
        </is>
      </c>
      <c r="B101" s="4" t="inlineStr">
        <is>
          <t>large cap</t>
        </is>
      </c>
      <c r="C101" s="4" t="inlineStr">
        <is>
          <t>Nifty 100 TRI</t>
        </is>
      </c>
      <c r="D101" s="4" t="inlineStr">
        <is>
          <t>Very High</t>
        </is>
      </c>
      <c r="E101" s="4" t="inlineStr">
        <is>
          <t>Very High</t>
        </is>
      </c>
      <c r="F101" s="12" t="n">
        <v>46023</v>
      </c>
      <c r="G101" s="4" t="n">
        <v>10.435</v>
      </c>
      <c r="H101" s="4" t="n">
        <v>10.65</v>
      </c>
      <c r="I101" s="4" t="n">
        <v>10.397015</v>
      </c>
      <c r="J101" s="4" t="n">
        <v>0.4691390000000002</v>
      </c>
      <c r="K101" s="4" t="n">
        <v>9.927875999999999</v>
      </c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>
        <v>4.237467</v>
      </c>
      <c r="V101" s="4" t="n">
        <v>1567.94</v>
      </c>
      <c r="W101" s="4" t="n">
        <v>0.1200081620967296</v>
      </c>
      <c r="X101" s="4" t="n">
        <v>-0.4007861837977577</v>
      </c>
      <c r="Y101" s="4" t="n"/>
      <c r="Z101" s="4" t="n"/>
      <c r="AA101" s="4" t="n"/>
      <c r="AB101" s="4" t="n"/>
      <c r="AC101" s="4" t="n"/>
      <c r="AD101" s="4" t="n"/>
      <c r="AE101" s="4" t="n">
        <v>8.765895</v>
      </c>
      <c r="AF101" s="4" t="n"/>
      <c r="AG101" s="4" t="n"/>
      <c r="AH101" s="4" t="n"/>
      <c r="AI101" s="4" t="n">
        <v>3.318973</v>
      </c>
      <c r="AJ101" s="4" t="n">
        <v>3.318973</v>
      </c>
      <c r="AK101" s="4" t="n">
        <v>2.6922653</v>
      </c>
      <c r="AL101" s="4" t="inlineStr">
        <is>
          <t>Equity Scheme - Large Cap Fund</t>
        </is>
      </c>
      <c r="AM101" s="4" t="n">
        <v>1.95</v>
      </c>
      <c r="AN101" s="4" t="n">
        <v>0</v>
      </c>
      <c r="AO101" s="4" t="n">
        <v>0.05</v>
      </c>
      <c r="AP101" s="4" t="n">
        <v>0.06</v>
      </c>
      <c r="AQ101" s="4" t="n">
        <v>2.06</v>
      </c>
      <c r="AR101" s="4" t="n">
        <v>0.48</v>
      </c>
      <c r="AS101" s="4" t="n">
        <v>0</v>
      </c>
      <c r="AT101" s="4" t="n">
        <v>0.05</v>
      </c>
      <c r="AU101" s="4" t="n">
        <v>0.06</v>
      </c>
      <c r="AV101" s="4" t="n">
        <v>0.59</v>
      </c>
      <c r="AW101" s="17" t="n">
        <v>6.100360983200879</v>
      </c>
      <c r="AX101" s="18" t="inlineStr">
        <is>
          <t>-96cr</t>
        </is>
      </c>
      <c r="AY101" s="26" t="n">
        <v>1.684036607553603</v>
      </c>
      <c r="AZ101" s="26" t="n">
        <v>1.334652495697384</v>
      </c>
      <c r="BA101" s="26" t="n">
        <v>0.4834192064942413</v>
      </c>
      <c r="BB101" s="28" t="n">
        <v>4</v>
      </c>
      <c r="BC101" t="n">
        <v>1</v>
      </c>
      <c r="BD101" t="n">
        <v>1</v>
      </c>
      <c r="BE101" t="n">
        <v>1</v>
      </c>
      <c r="BF101" t="n">
        <v>1</v>
      </c>
      <c r="BG101" t="n">
        <v>0</v>
      </c>
      <c r="BH101" t="n">
        <v>0</v>
      </c>
    </row>
    <row r="102">
      <c r="A102" s="4" t="inlineStr">
        <is>
          <t>Bandhan Large Cap Fund</t>
        </is>
      </c>
      <c r="B102" s="4" t="inlineStr">
        <is>
          <t>large cap</t>
        </is>
      </c>
      <c r="C102" s="4" t="inlineStr">
        <is>
          <t>BSE 100 TRI</t>
        </is>
      </c>
      <c r="D102" s="4" t="inlineStr">
        <is>
          <t>Very High</t>
        </is>
      </c>
      <c r="E102" s="4" t="inlineStr">
        <is>
          <t>Very High</t>
        </is>
      </c>
      <c r="F102" s="12" t="n">
        <v>46023</v>
      </c>
      <c r="G102" s="4" t="n">
        <v>80.52800000000001</v>
      </c>
      <c r="H102" s="4" t="n">
        <v>92.979</v>
      </c>
      <c r="I102" s="4" t="n">
        <v>9.306044</v>
      </c>
      <c r="J102" s="4" t="n">
        <v>-0.8429710000000004</v>
      </c>
      <c r="K102" s="4" t="n">
        <v>10.149015</v>
      </c>
      <c r="L102" s="4" t="n">
        <v>19.080795</v>
      </c>
      <c r="M102" s="4" t="n">
        <v>3.533259999999999</v>
      </c>
      <c r="N102" s="4" t="n">
        <v>15.547535</v>
      </c>
      <c r="O102" s="4" t="n">
        <v>16.402672</v>
      </c>
      <c r="P102" s="4" t="n">
        <v>0.8050399999999982</v>
      </c>
      <c r="Q102" s="4" t="n">
        <v>15.597632</v>
      </c>
      <c r="R102" s="4" t="n">
        <v>14.819328</v>
      </c>
      <c r="S102" s="4" t="n">
        <v>0.4140720000000009</v>
      </c>
      <c r="T102" s="4" t="n">
        <v>14.405256</v>
      </c>
      <c r="U102" s="4" t="n">
        <v>13.795219</v>
      </c>
      <c r="V102" s="4" t="n">
        <v>2055.98</v>
      </c>
      <c r="W102" s="4" t="n">
        <v>-0.2492157534092783</v>
      </c>
      <c r="X102" s="4" t="n">
        <v>-0.6687990394995499</v>
      </c>
      <c r="Y102" s="4" t="n">
        <v>0.07843402002267964</v>
      </c>
      <c r="Z102" s="4" t="n">
        <v>-0.2664758238818224</v>
      </c>
      <c r="AA102" s="4" t="n">
        <v>0.9720603841756967</v>
      </c>
      <c r="AB102" s="4" t="n">
        <v>0.5882183421394236</v>
      </c>
      <c r="AC102" s="4" t="n">
        <v>0.2244436314966969</v>
      </c>
      <c r="AD102" s="4" t="n">
        <v>-0.1754261760953684</v>
      </c>
      <c r="AE102" s="4" t="n">
        <v>8.055016</v>
      </c>
      <c r="AF102" s="4" t="n">
        <v>13.476731</v>
      </c>
      <c r="AG102" s="4" t="n">
        <v>17.686077</v>
      </c>
      <c r="AH102" s="4" t="n">
        <v>15.006503</v>
      </c>
      <c r="AI102" s="4" t="n"/>
      <c r="AJ102" s="4" t="n">
        <v>13.800322</v>
      </c>
      <c r="AK102" s="4" t="n">
        <v>11.243214</v>
      </c>
      <c r="AL102" s="4" t="inlineStr">
        <is>
          <t>Equity Scheme - Large Cap Fund</t>
        </is>
      </c>
      <c r="AM102" s="4" t="n">
        <v>1.91</v>
      </c>
      <c r="AN102" s="4" t="n">
        <v>0</v>
      </c>
      <c r="AO102" s="4" t="n">
        <v>0</v>
      </c>
      <c r="AP102" s="4" t="n">
        <v>0.12</v>
      </c>
      <c r="AQ102" s="4" t="n">
        <v>2.03</v>
      </c>
      <c r="AR102" s="4" t="n">
        <v>0.75</v>
      </c>
      <c r="AS102" s="4" t="n">
        <v>0</v>
      </c>
      <c r="AT102" s="4" t="n">
        <v>0</v>
      </c>
      <c r="AU102" s="4" t="n">
        <v>0.12</v>
      </c>
      <c r="AV102" s="4" t="n">
        <v>0.87</v>
      </c>
      <c r="AW102" s="17" t="n">
        <v>-0.2923180186577797</v>
      </c>
      <c r="AX102" t="inlineStr">
        <is>
          <t>6cr</t>
        </is>
      </c>
      <c r="AY102" s="26" t="n">
        <v>1.482811691388065</v>
      </c>
      <c r="AZ102" s="26" t="n">
        <v>1.334652495697384</v>
      </c>
      <c r="BA102" s="26" t="n">
        <v>0.5243192594213326</v>
      </c>
      <c r="BB102" s="28" t="n">
        <v>2</v>
      </c>
      <c r="BC102" t="n">
        <v>1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</row>
    <row r="103">
      <c r="A103" s="4" t="inlineStr">
        <is>
          <t>Bank of India Large Cap Fund</t>
        </is>
      </c>
      <c r="B103" s="4" t="inlineStr">
        <is>
          <t>large cap</t>
        </is>
      </c>
      <c r="C103" s="4" t="inlineStr">
        <is>
          <t>Nifty 100 TRI</t>
        </is>
      </c>
      <c r="D103" s="4" t="inlineStr">
        <is>
          <t>Very High</t>
        </is>
      </c>
      <c r="E103" s="4" t="inlineStr">
        <is>
          <t>Very High</t>
        </is>
      </c>
      <c r="F103" s="12" t="n">
        <v>46023</v>
      </c>
      <c r="G103" s="4" t="n">
        <v>16.7</v>
      </c>
      <c r="H103" s="4" t="n">
        <v>17.7</v>
      </c>
      <c r="I103" s="4" t="n">
        <v>7.4029126</v>
      </c>
      <c r="J103" s="4" t="n">
        <v>-2.5249634</v>
      </c>
      <c r="K103" s="4" t="n">
        <v>9.927875999999999</v>
      </c>
      <c r="L103" s="4" t="n">
        <v>17.37989</v>
      </c>
      <c r="M103" s="4" t="n">
        <v>2.659305999999999</v>
      </c>
      <c r="N103" s="4" t="n">
        <v>14.720584</v>
      </c>
      <c r="O103" s="4" t="n"/>
      <c r="P103" s="4" t="n"/>
      <c r="Q103" s="4" t="n"/>
      <c r="R103" s="4" t="n"/>
      <c r="S103" s="4" t="n"/>
      <c r="T103" s="4" t="n"/>
      <c r="U103" s="4" t="n">
        <v>13.48922</v>
      </c>
      <c r="V103" s="4" t="n">
        <v>209.94</v>
      </c>
      <c r="W103" s="4" t="n">
        <v>-0.3977986781237807</v>
      </c>
      <c r="X103" s="4" t="n">
        <v>-0.6978502583199323</v>
      </c>
      <c r="Y103" s="4" t="n"/>
      <c r="Z103" s="4" t="n"/>
      <c r="AA103" s="4" t="n">
        <v>0.5688580464527494</v>
      </c>
      <c r="AB103" s="4" t="n">
        <v>0.2792864317178486</v>
      </c>
      <c r="AC103" s="4" t="n"/>
      <c r="AD103" s="4" t="n"/>
      <c r="AE103" s="4" t="n">
        <v>5.763141</v>
      </c>
      <c r="AF103" s="4" t="n"/>
      <c r="AG103" s="4" t="n">
        <v>15.913306</v>
      </c>
      <c r="AH103" s="4" t="n"/>
      <c r="AI103" s="4" t="n">
        <v>13.29314</v>
      </c>
      <c r="AJ103" s="4" t="n">
        <v>13.29314</v>
      </c>
      <c r="AK103" s="4" t="n">
        <v>12.03593</v>
      </c>
      <c r="AL103" s="4" t="inlineStr">
        <is>
          <t>Equity Scheme - Large Cap Fund</t>
        </is>
      </c>
      <c r="AM103" s="4" t="n">
        <v>2.25</v>
      </c>
      <c r="AN103" s="4" t="n">
        <v>0</v>
      </c>
      <c r="AO103" s="4" t="n">
        <v>0.05</v>
      </c>
      <c r="AP103" s="4" t="n">
        <v>0.14</v>
      </c>
      <c r="AQ103" s="4" t="n">
        <v>2.44</v>
      </c>
      <c r="AR103" s="4" t="n">
        <v>0.82</v>
      </c>
      <c r="AS103" s="4" t="n">
        <v>0</v>
      </c>
      <c r="AT103" s="4" t="n">
        <v>0.05</v>
      </c>
      <c r="AU103" s="4" t="n">
        <v>0.14</v>
      </c>
      <c r="AV103" s="4" t="n">
        <v>1.01</v>
      </c>
      <c r="AW103" s="17" t="n">
        <v>-0.5811184147851761</v>
      </c>
      <c r="AX103" t="inlineStr">
        <is>
          <t>1cr</t>
        </is>
      </c>
      <c r="AY103" s="26" t="n">
        <v>1.246950802317763</v>
      </c>
      <c r="AZ103" s="26" t="n">
        <v>1.334652495697384</v>
      </c>
      <c r="BA103" s="26" t="n">
        <v>0.5051079615190037</v>
      </c>
      <c r="BB103" s="28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</row>
    <row r="104">
      <c r="A104" s="4" t="inlineStr">
        <is>
          <t>Baroda BNP Paribas Large Cap Fund</t>
        </is>
      </c>
      <c r="B104" s="4" t="inlineStr">
        <is>
          <t>large cap</t>
        </is>
      </c>
      <c r="C104" s="4" t="inlineStr">
        <is>
          <t>Nifty 100 TRI</t>
        </is>
      </c>
      <c r="D104" s="4" t="inlineStr">
        <is>
          <t>Very High</t>
        </is>
      </c>
      <c r="E104" s="4" t="inlineStr">
        <is>
          <t>Very High</t>
        </is>
      </c>
      <c r="F104" s="12" t="n">
        <v>46023</v>
      </c>
      <c r="G104" s="4" t="n">
        <v>226.6115</v>
      </c>
      <c r="H104" s="4" t="n">
        <v>262.825</v>
      </c>
      <c r="I104" s="4" t="n">
        <v>5.1822543</v>
      </c>
      <c r="J104" s="4" t="n">
        <v>-4.745621699999999</v>
      </c>
      <c r="K104" s="4" t="n">
        <v>9.927875999999999</v>
      </c>
      <c r="L104" s="4" t="n">
        <v>17.467329</v>
      </c>
      <c r="M104" s="4" t="n">
        <v>2.746744999999999</v>
      </c>
      <c r="N104" s="4" t="n">
        <v>14.720584</v>
      </c>
      <c r="O104" s="4" t="n">
        <v>16.099157</v>
      </c>
      <c r="P104" s="4" t="n">
        <v>1.249855000000002</v>
      </c>
      <c r="Q104" s="4" t="n">
        <v>14.849302</v>
      </c>
      <c r="R104" s="4" t="n">
        <v>14.300107</v>
      </c>
      <c r="S104" s="4" t="n">
        <v>0.2934140000000003</v>
      </c>
      <c r="T104" s="4" t="n">
        <v>14.006693</v>
      </c>
      <c r="U104" s="4" t="n">
        <v>15.582313</v>
      </c>
      <c r="V104" s="4" t="n">
        <v>2702.92</v>
      </c>
      <c r="W104" s="4" t="n">
        <v>-1.823253006676529</v>
      </c>
      <c r="X104" s="4" t="n">
        <v>-2.302382724105872</v>
      </c>
      <c r="Y104" s="4" t="n">
        <v>0.02733015824412521</v>
      </c>
      <c r="Z104" s="4" t="n">
        <v>-0.32209577504373</v>
      </c>
      <c r="AA104" s="4" t="n">
        <v>0.9275632631003526</v>
      </c>
      <c r="AB104" s="4" t="n">
        <v>0.451925182932611</v>
      </c>
      <c r="AC104" s="4" t="n">
        <v>0.3998120805511247</v>
      </c>
      <c r="AD104" s="4" t="n">
        <v>-0.07636745892713952</v>
      </c>
      <c r="AE104" s="4" t="n">
        <v>3.9373565</v>
      </c>
      <c r="AF104" s="4" t="n">
        <v>12.91739</v>
      </c>
      <c r="AG104" s="4" t="n">
        <v>16.087517</v>
      </c>
      <c r="AH104" s="4" t="n">
        <v>14.714917</v>
      </c>
      <c r="AI104" s="4" t="n">
        <v>15.286488</v>
      </c>
      <c r="AJ104" s="4" t="n">
        <v>13.635086</v>
      </c>
      <c r="AK104" s="4" t="n">
        <v>15.788416</v>
      </c>
      <c r="AL104" s="4" t="inlineStr">
        <is>
          <t>Equity Scheme - Large Cap Fund</t>
        </is>
      </c>
      <c r="AM104" s="4" t="n">
        <v>1.82</v>
      </c>
      <c r="AN104" s="4" t="n">
        <v>0</v>
      </c>
      <c r="AO104" s="4" t="n">
        <v>0.05</v>
      </c>
      <c r="AP104" s="4" t="n">
        <v>0.11</v>
      </c>
      <c r="AQ104" s="4" t="n">
        <v>1.98</v>
      </c>
      <c r="AR104" s="4" t="n">
        <v>0.66</v>
      </c>
      <c r="AS104" s="4" t="n">
        <v>0</v>
      </c>
      <c r="AT104" s="4" t="n">
        <v>0.05</v>
      </c>
      <c r="AU104" s="4" t="n">
        <v>0.11</v>
      </c>
      <c r="AV104" s="4" t="n">
        <v>0.82</v>
      </c>
      <c r="AW104" s="17" t="n">
        <v>2.996019120062748</v>
      </c>
      <c r="AX104" s="18" t="inlineStr">
        <is>
          <t>-81cr</t>
        </is>
      </c>
      <c r="AY104" s="26" t="n">
        <v>1.41515624655786</v>
      </c>
      <c r="AZ104" s="26" t="n">
        <v>1.334652495697384</v>
      </c>
      <c r="BA104" s="26" t="n">
        <v>0.4611025057477249</v>
      </c>
      <c r="BB104" s="28" t="n">
        <v>2</v>
      </c>
      <c r="BC104" t="n">
        <v>0</v>
      </c>
      <c r="BD104" t="n">
        <v>1</v>
      </c>
      <c r="BE104" t="n">
        <v>1</v>
      </c>
      <c r="BF104" t="n">
        <v>0</v>
      </c>
      <c r="BG104" t="n">
        <v>0</v>
      </c>
      <c r="BH104" t="n">
        <v>0</v>
      </c>
    </row>
    <row r="105">
      <c r="A105" s="4" t="inlineStr">
        <is>
          <t>Canara Robeco Large Cap Fund</t>
        </is>
      </c>
      <c r="B105" s="4" t="inlineStr">
        <is>
          <t>large cap</t>
        </is>
      </c>
      <c r="C105" s="4" t="inlineStr">
        <is>
          <t>BSE 100 TRI</t>
        </is>
      </c>
      <c r="D105" s="4" t="inlineStr">
        <is>
          <t>Very High</t>
        </is>
      </c>
      <c r="E105" s="4" t="inlineStr">
        <is>
          <t>Very High</t>
        </is>
      </c>
      <c r="F105" s="12" t="n">
        <v>46023</v>
      </c>
      <c r="G105" s="4" t="n">
        <v>64.81999999999999</v>
      </c>
      <c r="H105" s="4" t="n">
        <v>75.29000000000001</v>
      </c>
      <c r="I105" s="4" t="n">
        <v>8.144212</v>
      </c>
      <c r="J105" s="4" t="n">
        <v>-2.004803000000001</v>
      </c>
      <c r="K105" s="4" t="n">
        <v>10.149015</v>
      </c>
      <c r="L105" s="4" t="n">
        <v>16.95715</v>
      </c>
      <c r="M105" s="4" t="n">
        <v>1.409614999999999</v>
      </c>
      <c r="N105" s="4" t="n">
        <v>15.547535</v>
      </c>
      <c r="O105" s="4" t="n">
        <v>15.623184</v>
      </c>
      <c r="P105" s="4" t="n">
        <v>0.02555199999999935</v>
      </c>
      <c r="Q105" s="4" t="n">
        <v>15.597632</v>
      </c>
      <c r="R105" s="4" t="n">
        <v>15.722333</v>
      </c>
      <c r="S105" s="4" t="n">
        <v>1.317077000000001</v>
      </c>
      <c r="T105" s="4" t="n">
        <v>14.405256</v>
      </c>
      <c r="U105" s="4" t="n">
        <v>15.085314</v>
      </c>
      <c r="V105" s="4" t="n">
        <v>17491.64</v>
      </c>
      <c r="W105" s="4" t="n">
        <v>-1.121957963676731</v>
      </c>
      <c r="X105" s="4" t="n">
        <v>-1.813123362458829</v>
      </c>
      <c r="Y105" s="4" t="n">
        <v>0.3305177871461611</v>
      </c>
      <c r="Z105" s="4" t="n">
        <v>-0.09859803216166285</v>
      </c>
      <c r="AA105" s="4" t="n">
        <v>0.6168407046155887</v>
      </c>
      <c r="AB105" s="4" t="n">
        <v>-0.03602005309857897</v>
      </c>
      <c r="AC105" s="4" t="n">
        <v>-0.04151580733822005</v>
      </c>
      <c r="AD105" s="4" t="n">
        <v>-0.7008814983134674</v>
      </c>
      <c r="AE105" s="4" t="n">
        <v>6.89314</v>
      </c>
      <c r="AF105" s="4" t="n">
        <v>14.268201</v>
      </c>
      <c r="AG105" s="4" t="n">
        <v>15.563382</v>
      </c>
      <c r="AH105" s="4" t="n">
        <v>14.104152</v>
      </c>
      <c r="AI105" s="4" t="n">
        <v>12.243434</v>
      </c>
      <c r="AJ105" s="4" t="n">
        <v>13.800322</v>
      </c>
      <c r="AK105" s="4" t="n">
        <v>12.923285</v>
      </c>
      <c r="AL105" s="4" t="inlineStr">
        <is>
          <t>Equity Scheme - Large Cap Fund</t>
        </is>
      </c>
      <c r="AM105" s="4" t="n">
        <v>1.54</v>
      </c>
      <c r="AN105" s="4" t="n">
        <v>0</v>
      </c>
      <c r="AO105" s="4" t="n">
        <v>0.05</v>
      </c>
      <c r="AP105" s="4" t="n">
        <v>0.06</v>
      </c>
      <c r="AQ105" s="4" t="n">
        <v>1.65</v>
      </c>
      <c r="AR105" s="4" t="n">
        <v>0.39</v>
      </c>
      <c r="AS105" s="4" t="n">
        <v>0</v>
      </c>
      <c r="AT105" s="4" t="n">
        <v>0.05</v>
      </c>
      <c r="AU105" s="4" t="n">
        <v>0.06</v>
      </c>
      <c r="AV105" s="4" t="n">
        <v>0.5</v>
      </c>
      <c r="AW105" s="17" t="n">
        <v>0.06780381942459701</v>
      </c>
      <c r="AX105" s="18" t="inlineStr">
        <is>
          <t>-12cr</t>
        </is>
      </c>
      <c r="AY105" s="26" t="n">
        <v>1.231841118509425</v>
      </c>
      <c r="AZ105" s="26" t="n">
        <v>1.334652495697384</v>
      </c>
      <c r="BA105" s="26" t="n">
        <v>0.4619614019121329</v>
      </c>
      <c r="BB105" s="28" t="n">
        <v>3</v>
      </c>
      <c r="BC105" t="n">
        <v>0</v>
      </c>
      <c r="BD105" t="n">
        <v>1</v>
      </c>
      <c r="BE105" t="n">
        <v>1</v>
      </c>
      <c r="BF105" t="n">
        <v>0</v>
      </c>
      <c r="BG105" t="n">
        <v>0</v>
      </c>
      <c r="BH105" t="n">
        <v>1</v>
      </c>
    </row>
    <row r="106">
      <c r="A106" s="4" t="inlineStr">
        <is>
          <t>Edelweiss Large Cap Fund</t>
        </is>
      </c>
      <c r="B106" s="4" t="inlineStr">
        <is>
          <t>large cap</t>
        </is>
      </c>
      <c r="C106" s="4" t="inlineStr">
        <is>
          <t>Nifty 100 TRI</t>
        </is>
      </c>
      <c r="D106" s="4" t="inlineStr">
        <is>
          <t>Very High</t>
        </is>
      </c>
      <c r="E106" s="4" t="inlineStr">
        <is>
          <t>Very High</t>
        </is>
      </c>
      <c r="F106" s="12" t="n">
        <v>46023</v>
      </c>
      <c r="G106" s="4" t="n">
        <v>87.22</v>
      </c>
      <c r="H106" s="4" t="n">
        <v>100.82</v>
      </c>
      <c r="I106" s="4" t="n">
        <v>8.490261</v>
      </c>
      <c r="J106" s="4" t="n">
        <v>-1.437614999999999</v>
      </c>
      <c r="K106" s="4" t="n">
        <v>9.927875999999999</v>
      </c>
      <c r="L106" s="4" t="n">
        <v>17.409847</v>
      </c>
      <c r="M106" s="4" t="n">
        <v>2.689262999999999</v>
      </c>
      <c r="N106" s="4" t="n">
        <v>14.720584</v>
      </c>
      <c r="O106" s="4" t="n">
        <v>16.25891</v>
      </c>
      <c r="P106" s="4" t="n">
        <v>1.409608</v>
      </c>
      <c r="Q106" s="4" t="n">
        <v>14.849302</v>
      </c>
      <c r="R106" s="4" t="n">
        <v>14.872706</v>
      </c>
      <c r="S106" s="4" t="n">
        <v>0.8660130000000006</v>
      </c>
      <c r="T106" s="4" t="n">
        <v>14.006693</v>
      </c>
      <c r="U106" s="4" t="n">
        <v>15.040516</v>
      </c>
      <c r="V106" s="4" t="n">
        <v>1458.74</v>
      </c>
      <c r="W106" s="4" t="n">
        <v>-0.7798456297070426</v>
      </c>
      <c r="X106" s="4" t="n">
        <v>-1.631883120241584</v>
      </c>
      <c r="Y106" s="4" t="n">
        <v>0.2182489012511415</v>
      </c>
      <c r="Z106" s="4" t="n">
        <v>-0.2451219891560607</v>
      </c>
      <c r="AA106" s="4" t="n">
        <v>1.04152913597003</v>
      </c>
      <c r="AB106" s="4" t="n">
        <v>0.3326060851293108</v>
      </c>
      <c r="AC106" s="4" t="n">
        <v>0.5029238931952423</v>
      </c>
      <c r="AD106" s="4" t="n">
        <v>-0.1744880444593999</v>
      </c>
      <c r="AE106" s="4" t="n">
        <v>6.8610635</v>
      </c>
      <c r="AF106" s="4" t="n">
        <v>13.389173</v>
      </c>
      <c r="AG106" s="4" t="n">
        <v>15.636131</v>
      </c>
      <c r="AH106" s="4" t="n">
        <v>14.506422</v>
      </c>
      <c r="AI106" s="4" t="n">
        <v>13.341467</v>
      </c>
      <c r="AJ106" s="4" t="n">
        <v>13.648859</v>
      </c>
      <c r="AK106" s="4" t="n">
        <v>13.9097595</v>
      </c>
      <c r="AL106" s="4" t="inlineStr">
        <is>
          <t>Equity Scheme - Large Cap Fund</t>
        </is>
      </c>
      <c r="AM106" s="4" t="n">
        <v>1.97</v>
      </c>
      <c r="AN106" s="4" t="n">
        <v>0</v>
      </c>
      <c r="AO106" s="4" t="n">
        <v>0.05</v>
      </c>
      <c r="AP106" s="4" t="n">
        <v>0.08</v>
      </c>
      <c r="AQ106" s="4" t="n">
        <v>2.1</v>
      </c>
      <c r="AR106" s="4" t="n">
        <v>0.46</v>
      </c>
      <c r="AS106" s="4" t="n">
        <v>0</v>
      </c>
      <c r="AT106" s="4" t="n">
        <v>0.05</v>
      </c>
      <c r="AU106" s="4" t="n">
        <v>0.08</v>
      </c>
      <c r="AV106" s="4" t="n">
        <v>0.59</v>
      </c>
      <c r="AW106" s="17" t="n">
        <v>-0.9515060943005683</v>
      </c>
      <c r="AX106" t="inlineStr">
        <is>
          <t>14cr</t>
        </is>
      </c>
      <c r="AY106" s="26" t="n">
        <v>1.352273403069629</v>
      </c>
      <c r="AZ106" s="26" t="n">
        <v>1.334652495697384</v>
      </c>
      <c r="BA106" s="26" t="n">
        <v>0.4654404774562284</v>
      </c>
      <c r="BB106" s="28" t="n">
        <v>2</v>
      </c>
      <c r="BC106" t="n">
        <v>1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</row>
    <row r="107">
      <c r="A107" s="4" t="inlineStr">
        <is>
          <t>Franklin India Large Cap Fund</t>
        </is>
      </c>
      <c r="B107" s="4" t="inlineStr">
        <is>
          <t>large cap</t>
        </is>
      </c>
      <c r="C107" s="4" t="inlineStr">
        <is>
          <t>Nifty 100 TRI</t>
        </is>
      </c>
      <c r="D107" s="4" t="inlineStr">
        <is>
          <t>Very High</t>
        </is>
      </c>
      <c r="E107" s="4" t="inlineStr">
        <is>
          <t>Very High</t>
        </is>
      </c>
      <c r="F107" s="12" t="n">
        <v>46023</v>
      </c>
      <c r="G107" s="4" t="n">
        <v>1069.7701</v>
      </c>
      <c r="H107" s="4" t="n">
        <v>1188.3592</v>
      </c>
      <c r="I107" s="4" t="n">
        <v>9.234019999999999</v>
      </c>
      <c r="J107" s="4" t="n">
        <v>-0.6938560000000003</v>
      </c>
      <c r="K107" s="4" t="n">
        <v>9.927875999999999</v>
      </c>
      <c r="L107" s="4" t="n">
        <v>16.407635</v>
      </c>
      <c r="M107" s="4" t="n">
        <v>1.687050999999999</v>
      </c>
      <c r="N107" s="4" t="n">
        <v>14.720584</v>
      </c>
      <c r="O107" s="4" t="n">
        <v>15.691062</v>
      </c>
      <c r="P107" s="4" t="n">
        <v>0.8417600000000007</v>
      </c>
      <c r="Q107" s="4" t="n">
        <v>14.849302</v>
      </c>
      <c r="R107" s="4" t="n">
        <v>12.853465</v>
      </c>
      <c r="S107" s="4" t="n">
        <v>-1.153228</v>
      </c>
      <c r="T107" s="4" t="n">
        <v>14.006693</v>
      </c>
      <c r="U107" s="4" t="n">
        <v>13.145844</v>
      </c>
      <c r="V107" s="4" t="n">
        <v>8009.63</v>
      </c>
      <c r="W107" s="4" t="n">
        <v>-0.2340878246364626</v>
      </c>
      <c r="X107" s="4" t="n">
        <v>-0.4936068497648712</v>
      </c>
      <c r="Y107" s="4" t="n">
        <v>-0.2218332649641828</v>
      </c>
      <c r="Z107" s="4" t="n">
        <v>-0.3892632889998157</v>
      </c>
      <c r="AA107" s="4" t="n">
        <v>0.3966774805781347</v>
      </c>
      <c r="AB107" s="4" t="n">
        <v>0.1538117623942822</v>
      </c>
      <c r="AC107" s="4" t="n">
        <v>0.161646554021782</v>
      </c>
      <c r="AD107" s="4" t="n">
        <v>-0.03077768149437257</v>
      </c>
      <c r="AE107" s="4" t="n">
        <v>8.426268</v>
      </c>
      <c r="AF107" s="4" t="n">
        <v>11.945537</v>
      </c>
      <c r="AG107" s="4" t="n">
        <v>15.455925</v>
      </c>
      <c r="AH107" s="4" t="n">
        <v>14.782931</v>
      </c>
      <c r="AI107" s="4" t="n"/>
      <c r="AJ107" s="4" t="n">
        <v>13.693054</v>
      </c>
      <c r="AK107" s="4" t="n">
        <v>18.861061</v>
      </c>
      <c r="AL107" s="4" t="inlineStr">
        <is>
          <t>Equity Scheme - Large Cap Fund</t>
        </is>
      </c>
      <c r="AM107" s="4" t="n">
        <v>1.65</v>
      </c>
      <c r="AN107" s="4" t="n">
        <v>0</v>
      </c>
      <c r="AO107" s="4" t="n">
        <v>0.05</v>
      </c>
      <c r="AP107" s="4" t="n">
        <v>0.16</v>
      </c>
      <c r="AQ107" s="4" t="n">
        <v>1.86</v>
      </c>
      <c r="AR107" s="4" t="n">
        <v>0.93</v>
      </c>
      <c r="AS107" s="4" t="n">
        <v>0</v>
      </c>
      <c r="AT107" s="4" t="n">
        <v>0.05</v>
      </c>
      <c r="AU107" s="4" t="n">
        <v>0.16</v>
      </c>
      <c r="AV107" s="4" t="n">
        <v>1.14</v>
      </c>
      <c r="AW107" s="17" t="n">
        <v>0.6475954569686726</v>
      </c>
      <c r="AX107" s="18" t="inlineStr">
        <is>
          <t>-52cr</t>
        </is>
      </c>
      <c r="AY107" s="26" t="n">
        <v>1.507430988350982</v>
      </c>
      <c r="AZ107" s="26" t="n">
        <v>1.334652495697384</v>
      </c>
      <c r="BA107" s="26" t="n">
        <v>0.4715059175681408</v>
      </c>
      <c r="BB107" s="28" t="n">
        <v>2</v>
      </c>
      <c r="BC107" t="n">
        <v>1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</row>
    <row r="108">
      <c r="A108" s="4" t="inlineStr">
        <is>
          <t>Groww Large Cap Fund</t>
        </is>
      </c>
      <c r="B108" s="4" t="inlineStr">
        <is>
          <t>large cap</t>
        </is>
      </c>
      <c r="C108" s="4" t="inlineStr">
        <is>
          <t>Nifty 100 TRI</t>
        </is>
      </c>
      <c r="D108" s="4" t="inlineStr">
        <is>
          <t>Very High</t>
        </is>
      </c>
      <c r="E108" s="4" t="inlineStr">
        <is>
          <t>Very High</t>
        </is>
      </c>
      <c r="F108" s="12" t="n">
        <v>46023</v>
      </c>
      <c r="G108" s="4" t="n">
        <v>44.44</v>
      </c>
      <c r="H108" s="4" t="n">
        <v>53.62</v>
      </c>
      <c r="I108" s="4" t="n">
        <v>8.895206999999999</v>
      </c>
      <c r="J108" s="4" t="n">
        <v>-1.032669</v>
      </c>
      <c r="K108" s="4" t="n">
        <v>9.927875999999999</v>
      </c>
      <c r="L108" s="4" t="n">
        <v>15.565175</v>
      </c>
      <c r="M108" s="4" t="n">
        <v>0.8445909999999994</v>
      </c>
      <c r="N108" s="4" t="n">
        <v>14.720584</v>
      </c>
      <c r="O108" s="4" t="n">
        <v>14.13023</v>
      </c>
      <c r="P108" s="4" t="n">
        <v>-0.7190720000000006</v>
      </c>
      <c r="Q108" s="4" t="n">
        <v>14.849302</v>
      </c>
      <c r="R108" s="4" t="n">
        <v>13.319725</v>
      </c>
      <c r="S108" s="4" t="n">
        <v>-0.6869680000000002</v>
      </c>
      <c r="T108" s="4" t="n">
        <v>14.006693</v>
      </c>
      <c r="U108" s="4" t="n">
        <v>13.111939</v>
      </c>
      <c r="V108" s="4" t="n">
        <v>132.83</v>
      </c>
      <c r="W108" s="4" t="n">
        <v>-0.3835429771437763</v>
      </c>
      <c r="X108" s="4" t="n">
        <v>-0.8878126266220918</v>
      </c>
      <c r="Y108" s="4" t="n">
        <v>-0.1671811426740933</v>
      </c>
      <c r="Z108" s="4" t="n">
        <v>-0.5633217641069947</v>
      </c>
      <c r="AA108" s="4" t="n">
        <v>0.265171231664385</v>
      </c>
      <c r="AB108" s="4" t="n">
        <v>-0.2188681044405395</v>
      </c>
      <c r="AC108" s="4" t="n">
        <v>-0.2103672160589305</v>
      </c>
      <c r="AD108" s="4" t="n">
        <v>-0.6651014707002691</v>
      </c>
      <c r="AE108" s="4" t="n">
        <v>7.4468083</v>
      </c>
      <c r="AF108" s="4" t="n">
        <v>11.680334</v>
      </c>
      <c r="AG108" s="4" t="n">
        <v>14.042335</v>
      </c>
      <c r="AH108" s="4" t="n">
        <v>12.603438</v>
      </c>
      <c r="AI108" s="4" t="n">
        <v>13.793943</v>
      </c>
      <c r="AJ108" s="4" t="n">
        <v>13.635086</v>
      </c>
      <c r="AK108" s="4" t="n">
        <v>11.326321</v>
      </c>
      <c r="AL108" s="4" t="inlineStr">
        <is>
          <t>Equity Scheme - Large Cap Fund</t>
        </is>
      </c>
      <c r="AM108" s="4" t="n">
        <v>2.25</v>
      </c>
      <c r="AN108" s="4" t="n">
        <v>0</v>
      </c>
      <c r="AO108" s="4" t="n">
        <v>0.05</v>
      </c>
      <c r="AP108" s="4" t="n">
        <v>0.16</v>
      </c>
      <c r="AQ108" s="4" t="n">
        <v>2.46</v>
      </c>
      <c r="AR108" s="4" t="n">
        <v>1.05</v>
      </c>
      <c r="AS108" s="4" t="n">
        <v>0</v>
      </c>
      <c r="AT108" s="4" t="n">
        <v>0.05</v>
      </c>
      <c r="AU108" s="4" t="n">
        <v>0.16</v>
      </c>
      <c r="AV108" s="4" t="n">
        <v>1.26</v>
      </c>
      <c r="AW108" s="17" t="n">
        <v>0.1129262967702908</v>
      </c>
      <c r="AX108" t="inlineStr">
        <is>
          <t>0cr</t>
        </is>
      </c>
      <c r="AY108" s="26" t="n">
        <v>1.15163698444836</v>
      </c>
      <c r="AZ108" s="26" t="n">
        <v>1.334652495697384</v>
      </c>
      <c r="BA108" s="26" t="n">
        <v>0.3997300162228598</v>
      </c>
      <c r="BB108" s="28" t="n">
        <v>3</v>
      </c>
      <c r="BC108" t="n">
        <v>1</v>
      </c>
      <c r="BD108" t="n">
        <v>1</v>
      </c>
      <c r="BE108" t="n">
        <v>0</v>
      </c>
      <c r="BF108" t="n">
        <v>0</v>
      </c>
      <c r="BG108" t="n">
        <v>0</v>
      </c>
      <c r="BH108" t="n">
        <v>1</v>
      </c>
    </row>
    <row r="109">
      <c r="A109" s="4" t="inlineStr">
        <is>
          <t>HDFC Large Cap Fund</t>
        </is>
      </c>
      <c r="B109" s="4" t="inlineStr">
        <is>
          <t>large cap</t>
        </is>
      </c>
      <c r="C109" s="4" t="inlineStr">
        <is>
          <t>Nifty 100 TRI</t>
        </is>
      </c>
      <c r="D109" s="4" t="inlineStr">
        <is>
          <t>Very High</t>
        </is>
      </c>
      <c r="E109" s="4" t="inlineStr">
        <is>
          <t>Very High</t>
        </is>
      </c>
      <c r="F109" s="12" t="n">
        <v>46023</v>
      </c>
      <c r="G109" s="4" t="n">
        <v>1183.636</v>
      </c>
      <c r="H109" s="4" t="n">
        <v>1283.703</v>
      </c>
      <c r="I109" s="4" t="n">
        <v>8.511593</v>
      </c>
      <c r="J109" s="4" t="n">
        <v>-1.416283</v>
      </c>
      <c r="K109" s="4" t="n">
        <v>9.927875999999999</v>
      </c>
      <c r="L109" s="4" t="n">
        <v>16.90646</v>
      </c>
      <c r="M109" s="4" t="n">
        <v>2.185875999999999</v>
      </c>
      <c r="N109" s="4" t="n">
        <v>14.720584</v>
      </c>
      <c r="O109" s="4" t="n">
        <v>18.012285</v>
      </c>
      <c r="P109" s="4" t="n">
        <v>3.162982999999999</v>
      </c>
      <c r="Q109" s="4" t="n">
        <v>14.849302</v>
      </c>
      <c r="R109" s="4" t="n">
        <v>14.471013</v>
      </c>
      <c r="S109" s="4" t="n">
        <v>0.464319999999999</v>
      </c>
      <c r="T109" s="4" t="n">
        <v>14.006693</v>
      </c>
      <c r="U109" s="4" t="n">
        <v>14.171782</v>
      </c>
      <c r="V109" s="4" t="n">
        <v>40717.94</v>
      </c>
      <c r="W109" s="4" t="n">
        <v>-0.6376073798901508</v>
      </c>
      <c r="X109" s="4" t="n">
        <v>-0.9185113189896804</v>
      </c>
      <c r="Y109" s="4" t="n">
        <v>0.1161415428187687</v>
      </c>
      <c r="Z109" s="4" t="n">
        <v>-0.02867459386341367</v>
      </c>
      <c r="AA109" s="4" t="n">
        <v>0.8012999199112042</v>
      </c>
      <c r="AB109" s="4" t="n">
        <v>0.5431714651736869</v>
      </c>
      <c r="AC109" s="4" t="n">
        <v>0.8733004897488251</v>
      </c>
      <c r="AD109" s="4" t="n">
        <v>0.6809193726045035</v>
      </c>
      <c r="AE109" s="4" t="n">
        <v>7.850446</v>
      </c>
      <c r="AF109" s="4" t="n">
        <v>13.750034</v>
      </c>
      <c r="AG109" s="4" t="n">
        <v>16.213604</v>
      </c>
      <c r="AH109" s="4" t="n">
        <v>17.31709</v>
      </c>
      <c r="AI109" s="4" t="n"/>
      <c r="AJ109" s="4" t="n">
        <v>13.693054</v>
      </c>
      <c r="AK109" s="4" t="n">
        <v>17.73191</v>
      </c>
      <c r="AL109" s="4" t="inlineStr">
        <is>
          <t>Equity Scheme - Large Cap Fund</t>
        </is>
      </c>
      <c r="AM109" s="4" t="n">
        <v>1.4</v>
      </c>
      <c r="AN109" s="4" t="n">
        <v>0</v>
      </c>
      <c r="AO109" s="4" t="n">
        <v>0.05</v>
      </c>
      <c r="AP109" s="4" t="n">
        <v>0.13</v>
      </c>
      <c r="AQ109" s="4" t="n">
        <v>1.58</v>
      </c>
      <c r="AR109" s="4" t="n">
        <v>0.8</v>
      </c>
      <c r="AS109" s="4" t="n">
        <v>0</v>
      </c>
      <c r="AT109" s="4" t="n">
        <v>0.05</v>
      </c>
      <c r="AU109" s="4" t="n">
        <v>0.13</v>
      </c>
      <c r="AV109" s="4" t="n">
        <v>0.98</v>
      </c>
      <c r="AW109" s="17" t="n">
        <v>-0.3654163250891397</v>
      </c>
      <c r="AX109" t="inlineStr">
        <is>
          <t>149cr</t>
        </is>
      </c>
      <c r="AY109" s="26" t="n">
        <v>1.268849400932998</v>
      </c>
      <c r="AZ109" s="26" t="n">
        <v>1.334652495697384</v>
      </c>
      <c r="BA109" s="26" t="n">
        <v>0.4588650997720323</v>
      </c>
      <c r="BB109" s="28" t="n">
        <v>2</v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1</v>
      </c>
    </row>
    <row r="110">
      <c r="A110" s="4" t="inlineStr">
        <is>
          <t>HSBC Large Cap Fund</t>
        </is>
      </c>
      <c r="B110" s="4" t="inlineStr">
        <is>
          <t>large cap</t>
        </is>
      </c>
      <c r="C110" s="4" t="inlineStr">
        <is>
          <t>Nifty 100 TRI</t>
        </is>
      </c>
      <c r="D110" s="4" t="inlineStr">
        <is>
          <t>Very High</t>
        </is>
      </c>
      <c r="E110" s="4" t="inlineStr">
        <is>
          <t>Very High</t>
        </is>
      </c>
      <c r="F110" s="12" t="n">
        <v>46023</v>
      </c>
      <c r="G110" s="4" t="n">
        <v>497.114</v>
      </c>
      <c r="H110" s="4" t="n">
        <v>554.1935999999999</v>
      </c>
      <c r="I110" s="4" t="n">
        <v>5.9537845</v>
      </c>
      <c r="J110" s="4" t="n">
        <v>-3.974091499999999</v>
      </c>
      <c r="K110" s="4" t="n">
        <v>9.927875999999999</v>
      </c>
      <c r="L110" s="4" t="n">
        <v>16.517557</v>
      </c>
      <c r="M110" s="4" t="n">
        <v>1.796972999999999</v>
      </c>
      <c r="N110" s="4" t="n">
        <v>14.720584</v>
      </c>
      <c r="O110" s="4" t="n">
        <v>14.714227</v>
      </c>
      <c r="P110" s="4" t="n">
        <v>-0.1350750000000005</v>
      </c>
      <c r="Q110" s="4" t="n">
        <v>14.849302</v>
      </c>
      <c r="R110" s="4" t="n">
        <v>14.148079</v>
      </c>
      <c r="S110" s="4" t="n">
        <v>0.1413859999999989</v>
      </c>
      <c r="T110" s="4" t="n">
        <v>14.006693</v>
      </c>
      <c r="U110" s="4" t="n">
        <v>13.399817</v>
      </c>
      <c r="V110" s="4" t="n">
        <v>1922</v>
      </c>
      <c r="W110" s="4" t="n">
        <v>-1.399680350229024</v>
      </c>
      <c r="X110" s="4" t="n">
        <v>-1.73518831434776</v>
      </c>
      <c r="Y110" s="4" t="n">
        <v>0.05429101529611134</v>
      </c>
      <c r="Z110" s="4" t="n">
        <v>-0.2348322218933133</v>
      </c>
      <c r="AA110" s="4" t="n">
        <v>0.5808904212417266</v>
      </c>
      <c r="AB110" s="4" t="n">
        <v>0.2465578635675819</v>
      </c>
      <c r="AC110" s="4" t="n">
        <v>-0.01621946064921518</v>
      </c>
      <c r="AD110" s="4" t="n">
        <v>-0.3421344188449923</v>
      </c>
      <c r="AE110" s="4" t="n">
        <v>5.0236483</v>
      </c>
      <c r="AF110" s="4" t="n">
        <v>13.170663</v>
      </c>
      <c r="AG110" s="4" t="n">
        <v>15.455549</v>
      </c>
      <c r="AH110" s="4" t="n">
        <v>13.656813</v>
      </c>
      <c r="AI110" s="4" t="n"/>
      <c r="AJ110" s="4" t="n">
        <v>13.635086</v>
      </c>
      <c r="AK110" s="4" t="n">
        <v>18.444191</v>
      </c>
      <c r="AL110" s="4" t="inlineStr">
        <is>
          <t>Equity Scheme - Large Cap Fund</t>
        </is>
      </c>
      <c r="AM110" s="4" t="n">
        <v>1.91</v>
      </c>
      <c r="AN110" s="4" t="n">
        <v>0</v>
      </c>
      <c r="AO110" s="4" t="n">
        <v>0.05</v>
      </c>
      <c r="AP110" s="4" t="n">
        <v>0.17</v>
      </c>
      <c r="AQ110" s="4" t="n">
        <v>2.13</v>
      </c>
      <c r="AR110" s="4" t="n">
        <v>1.04</v>
      </c>
      <c r="AS110" s="4" t="n">
        <v>0</v>
      </c>
      <c r="AT110" s="4" t="n">
        <v>0.05</v>
      </c>
      <c r="AU110" s="4" t="n">
        <v>0.17</v>
      </c>
      <c r="AV110" s="4" t="n">
        <v>1.26</v>
      </c>
      <c r="AW110" s="17" t="n">
        <v>-0.1045785639958372</v>
      </c>
      <c r="AX110" t="inlineStr">
        <is>
          <t>2cr</t>
        </is>
      </c>
      <c r="AY110" s="26" t="n">
        <v>1.367884264818418</v>
      </c>
      <c r="AZ110" s="26" t="n">
        <v>1.334652495697384</v>
      </c>
      <c r="BA110" s="26" t="n">
        <v>0.4894537042055189</v>
      </c>
      <c r="BB110" s="28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</row>
    <row r="111">
      <c r="A111" s="4" t="inlineStr">
        <is>
          <t>Invesco India Largecap Fund</t>
        </is>
      </c>
      <c r="B111" s="4" t="inlineStr">
        <is>
          <t>large cap</t>
        </is>
      </c>
      <c r="C111" s="4" t="inlineStr">
        <is>
          <t>Nifty 100 TRI</t>
        </is>
      </c>
      <c r="D111" s="4" t="inlineStr">
        <is>
          <t>Very High</t>
        </is>
      </c>
      <c r="E111" s="4" t="inlineStr">
        <is>
          <t>Very High</t>
        </is>
      </c>
      <c r="F111" s="12" t="n">
        <v>46023</v>
      </c>
      <c r="G111" s="4" t="n">
        <v>70.97</v>
      </c>
      <c r="H111" s="4" t="n">
        <v>85.66</v>
      </c>
      <c r="I111" s="4" t="n">
        <v>6.5025487</v>
      </c>
      <c r="J111" s="4" t="n">
        <v>-3.425327299999999</v>
      </c>
      <c r="K111" s="4" t="n">
        <v>9.927875999999999</v>
      </c>
      <c r="L111" s="4" t="n">
        <v>18.999512</v>
      </c>
      <c r="M111" s="4" t="n">
        <v>4.278927999999999</v>
      </c>
      <c r="N111" s="4" t="n">
        <v>14.720584</v>
      </c>
      <c r="O111" s="4" t="n">
        <v>17.371004</v>
      </c>
      <c r="P111" s="4" t="n">
        <v>2.521701999999999</v>
      </c>
      <c r="Q111" s="4" t="n">
        <v>14.849302</v>
      </c>
      <c r="R111" s="4" t="n">
        <v>14.838019</v>
      </c>
      <c r="S111" s="4" t="n">
        <v>0.8313259999999989</v>
      </c>
      <c r="T111" s="4" t="n">
        <v>14.006693</v>
      </c>
      <c r="U111" s="4" t="n">
        <v>15.519132</v>
      </c>
      <c r="V111" s="4" t="n">
        <v>1720.4</v>
      </c>
      <c r="W111" s="4" t="n">
        <v>-0.9164113366124009</v>
      </c>
      <c r="X111" s="4" t="n">
        <v>-1.317200121721668</v>
      </c>
      <c r="Y111" s="4" t="n">
        <v>0.1719503518654577</v>
      </c>
      <c r="Z111" s="4" t="n">
        <v>-0.2175144358127307</v>
      </c>
      <c r="AA111" s="4" t="n">
        <v>1.10248298384607</v>
      </c>
      <c r="AB111" s="4" t="n">
        <v>0.691816316497453</v>
      </c>
      <c r="AC111" s="4" t="n">
        <v>0.6210030119886912</v>
      </c>
      <c r="AD111" s="4" t="n">
        <v>0.2189678198466684</v>
      </c>
      <c r="AE111" s="4" t="n">
        <v>5.109597</v>
      </c>
      <c r="AF111" s="4" t="n">
        <v>13.133822</v>
      </c>
      <c r="AG111" s="4" t="n">
        <v>17.37542</v>
      </c>
      <c r="AH111" s="4" t="n">
        <v>15.738169</v>
      </c>
      <c r="AI111" s="4" t="n">
        <v>13.01594</v>
      </c>
      <c r="AJ111" s="4" t="n">
        <v>13.635086</v>
      </c>
      <c r="AK111" s="4" t="n">
        <v>12.712725</v>
      </c>
      <c r="AL111" s="4" t="inlineStr">
        <is>
          <t>Equity Scheme - Large Cap Fund</t>
        </is>
      </c>
      <c r="AM111" s="4" t="n">
        <v>1.94</v>
      </c>
      <c r="AN111" s="4" t="n">
        <v>0</v>
      </c>
      <c r="AO111" s="4" t="n">
        <v>0</v>
      </c>
      <c r="AP111" s="4" t="n">
        <v>0.09</v>
      </c>
      <c r="AQ111" s="4" t="n">
        <v>2.03</v>
      </c>
      <c r="AR111" s="4" t="n">
        <v>0.62</v>
      </c>
      <c r="AS111" s="4" t="n">
        <v>0</v>
      </c>
      <c r="AT111" s="4" t="n">
        <v>0</v>
      </c>
      <c r="AU111" s="4" t="n">
        <v>0.09</v>
      </c>
      <c r="AV111" s="4" t="n">
        <v>0.71</v>
      </c>
      <c r="AW111" s="17" t="n">
        <v>-0.03894443152755596</v>
      </c>
      <c r="AX111" t="inlineStr">
        <is>
          <t>1cr</t>
        </is>
      </c>
      <c r="AY111" s="26" t="n">
        <v>1.178439900525331</v>
      </c>
      <c r="AZ111" s="26" t="n">
        <v>1.334652495697384</v>
      </c>
      <c r="BA111" s="26" t="n">
        <v>0.5118164640157913</v>
      </c>
      <c r="BB111" s="28" t="n">
        <v>2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1</v>
      </c>
    </row>
    <row r="112">
      <c r="A112" s="4" t="inlineStr">
        <is>
          <t>ITI Large Cap Fund</t>
        </is>
      </c>
      <c r="B112" s="4" t="inlineStr">
        <is>
          <t>large cap</t>
        </is>
      </c>
      <c r="C112" s="4" t="inlineStr">
        <is>
          <t>Nifty 100 TRI</t>
        </is>
      </c>
      <c r="D112" s="4" t="inlineStr">
        <is>
          <t>Very High</t>
        </is>
      </c>
      <c r="E112" s="4" t="inlineStr">
        <is>
          <t>Very High</t>
        </is>
      </c>
      <c r="F112" s="12" t="n">
        <v>46023</v>
      </c>
      <c r="G112" s="4" t="n">
        <v>18.1578</v>
      </c>
      <c r="H112" s="4" t="n">
        <v>20.1089</v>
      </c>
      <c r="I112" s="4" t="n">
        <v>5.8068013</v>
      </c>
      <c r="J112" s="4" t="n">
        <v>-4.121074699999999</v>
      </c>
      <c r="K112" s="4" t="n">
        <v>9.927875999999999</v>
      </c>
      <c r="L112" s="4" t="n">
        <v>16.105125</v>
      </c>
      <c r="M112" s="4" t="n">
        <v>1.384541</v>
      </c>
      <c r="N112" s="4" t="n">
        <v>14.720584</v>
      </c>
      <c r="O112" s="4" t="n">
        <v>14.615507</v>
      </c>
      <c r="P112" s="4" t="n">
        <v>-0.2337950000000006</v>
      </c>
      <c r="Q112" s="4" t="n">
        <v>14.849302</v>
      </c>
      <c r="R112" s="4" t="n"/>
      <c r="S112" s="4" t="n"/>
      <c r="T112" s="4" t="n"/>
      <c r="U112" s="4" t="n">
        <v>14.915841</v>
      </c>
      <c r="V112" s="4" t="n">
        <v>535.03</v>
      </c>
      <c r="W112" s="4" t="n">
        <v>-0.9414593623418855</v>
      </c>
      <c r="X112" s="4" t="n">
        <v>-1.407997768979803</v>
      </c>
      <c r="Y112" s="4" t="n"/>
      <c r="Z112" s="4" t="n"/>
      <c r="AA112" s="4" t="n">
        <v>0.3734299758800035</v>
      </c>
      <c r="AB112" s="4" t="n">
        <v>-0.1340411870558717</v>
      </c>
      <c r="AC112" s="4" t="n">
        <v>-0.03722722727633055</v>
      </c>
      <c r="AD112" s="4" t="n">
        <v>-0.5535092393933703</v>
      </c>
      <c r="AE112" s="4" t="n">
        <v>3.93882</v>
      </c>
      <c r="AF112" s="4" t="n"/>
      <c r="AG112" s="4" t="n">
        <v>13.924591</v>
      </c>
      <c r="AH112" s="4" t="n">
        <v>12.31349</v>
      </c>
      <c r="AI112" s="4" t="n">
        <v>15.230295</v>
      </c>
      <c r="AJ112" s="4" t="n">
        <v>15.230295</v>
      </c>
      <c r="AK112" s="4" t="n">
        <v>12.605185</v>
      </c>
      <c r="AL112" s="4" t="inlineStr">
        <is>
          <t>Equity Scheme - Large Cap Fund</t>
        </is>
      </c>
      <c r="AM112" s="4" t="n">
        <v>2.24</v>
      </c>
      <c r="AN112" s="4" t="n">
        <v>0</v>
      </c>
      <c r="AO112" s="4" t="n">
        <v>0.05</v>
      </c>
      <c r="AP112" s="4" t="n">
        <v>0.06</v>
      </c>
      <c r="AQ112" s="4" t="n">
        <v>2.35</v>
      </c>
      <c r="AR112" s="4" t="n">
        <v>0.41</v>
      </c>
      <c r="AS112" s="4" t="n">
        <v>0</v>
      </c>
      <c r="AT112" s="4" t="n">
        <v>0.05</v>
      </c>
      <c r="AU112" s="4" t="n">
        <v>0.06</v>
      </c>
      <c r="AV112" s="4" t="n">
        <v>0.52</v>
      </c>
      <c r="AW112" s="17" t="n">
        <v>0.3326916247686995</v>
      </c>
      <c r="AX112" s="18" t="inlineStr">
        <is>
          <t>-2cr</t>
        </is>
      </c>
      <c r="AY112" s="26" t="n">
        <v>1.277677672496969</v>
      </c>
      <c r="AZ112" s="26" t="n">
        <v>1.334652495697384</v>
      </c>
      <c r="BA112" s="26" t="n">
        <v>0.5207296808887594</v>
      </c>
      <c r="BB112" s="28" t="n">
        <v>3</v>
      </c>
      <c r="BC112" t="n">
        <v>0</v>
      </c>
      <c r="BD112" t="n">
        <v>1</v>
      </c>
      <c r="BE112" t="n">
        <v>1</v>
      </c>
      <c r="BF112" t="n">
        <v>0</v>
      </c>
      <c r="BG112" t="n">
        <v>0</v>
      </c>
      <c r="BH112" t="n">
        <v>1</v>
      </c>
    </row>
    <row r="113">
      <c r="A113" s="4" t="inlineStr">
        <is>
          <t>JM Large Cap Fund</t>
        </is>
      </c>
      <c r="B113" s="4" t="inlineStr">
        <is>
          <t>large cap</t>
        </is>
      </c>
      <c r="C113" s="4" t="inlineStr">
        <is>
          <t>BSE 100 TRI</t>
        </is>
      </c>
      <c r="D113" s="4" t="inlineStr">
        <is>
          <t>Very High</t>
        </is>
      </c>
      <c r="E113" s="4" t="inlineStr">
        <is>
          <t>Very High</t>
        </is>
      </c>
      <c r="F113" s="12" t="n">
        <v>46023</v>
      </c>
      <c r="G113" s="4" t="n">
        <v>159.5376</v>
      </c>
      <c r="H113" s="4" t="n">
        <v>183.8613</v>
      </c>
      <c r="I113" s="4" t="n">
        <v>5.654966</v>
      </c>
      <c r="J113" s="4" t="n">
        <v>-4.494049</v>
      </c>
      <c r="K113" s="4" t="n">
        <v>10.149015</v>
      </c>
      <c r="L113" s="4" t="n">
        <v>17.287159</v>
      </c>
      <c r="M113" s="4" t="n">
        <v>1.739623999999999</v>
      </c>
      <c r="N113" s="4" t="n">
        <v>15.547535</v>
      </c>
      <c r="O113" s="4" t="n">
        <v>15.905385</v>
      </c>
      <c r="P113" s="4" t="n">
        <v>0.3077529999999999</v>
      </c>
      <c r="Q113" s="4" t="n">
        <v>15.597632</v>
      </c>
      <c r="R113" s="4" t="n">
        <v>13.042282</v>
      </c>
      <c r="S113" s="4" t="n">
        <v>-1.362973999999999</v>
      </c>
      <c r="T113" s="4" t="n">
        <v>14.405256</v>
      </c>
      <c r="U113" s="4" t="n">
        <v>13.249234</v>
      </c>
      <c r="V113" s="4" t="n">
        <v>464.41</v>
      </c>
      <c r="W113" s="4" t="n">
        <v>-1.292992599424613</v>
      </c>
      <c r="X113" s="4" t="n">
        <v>-1.809515361625142</v>
      </c>
      <c r="Y113" s="4" t="n">
        <v>-0.2426912888135571</v>
      </c>
      <c r="Z113" s="4" t="n">
        <v>-0.4007658268964941</v>
      </c>
      <c r="AA113" s="4" t="n">
        <v>0.4173019557051012</v>
      </c>
      <c r="AB113" s="4" t="n">
        <v>0.1016666378421408</v>
      </c>
      <c r="AC113" s="4" t="n">
        <v>0.06645642236376678</v>
      </c>
      <c r="AD113" s="4" t="n">
        <v>-0.2105054373647857</v>
      </c>
      <c r="AE113" s="4" t="n">
        <v>3.9691203</v>
      </c>
      <c r="AF113" s="4" t="n">
        <v>11.7510805</v>
      </c>
      <c r="AG113" s="4" t="n">
        <v>15.816279</v>
      </c>
      <c r="AH113" s="4" t="n">
        <v>14.608155</v>
      </c>
      <c r="AI113" s="4" t="n"/>
      <c r="AJ113" s="4" t="n">
        <v>13.800322</v>
      </c>
      <c r="AK113" s="4" t="n">
        <v>9.417122000000001</v>
      </c>
      <c r="AL113" s="4" t="inlineStr">
        <is>
          <t>Equity Scheme - Large Cap Fund</t>
        </is>
      </c>
      <c r="AM113" s="4" t="n">
        <v>2.25</v>
      </c>
      <c r="AN113" s="4" t="n">
        <v>0</v>
      </c>
      <c r="AO113" s="4" t="n">
        <v>0.05</v>
      </c>
      <c r="AP113" s="4" t="n">
        <v>0.11</v>
      </c>
      <c r="AQ113" s="4" t="n">
        <v>2.41</v>
      </c>
      <c r="AR113" s="4" t="n">
        <v>0.72</v>
      </c>
      <c r="AS113" s="4" t="n">
        <v>0</v>
      </c>
      <c r="AT113" s="4" t="n">
        <v>0.05</v>
      </c>
      <c r="AU113" s="4" t="n">
        <v>0.11</v>
      </c>
      <c r="AV113" s="4" t="n">
        <v>0.88</v>
      </c>
      <c r="AW113" s="17" t="n">
        <v>3.901724769061809</v>
      </c>
      <c r="AX113" s="18" t="inlineStr">
        <is>
          <t>-18cr</t>
        </is>
      </c>
      <c r="AY113" s="26" t="n">
        <v>1.42137182708168</v>
      </c>
      <c r="AZ113" s="26" t="n">
        <v>1.334652495697384</v>
      </c>
      <c r="BA113" s="26" t="n">
        <v>0.5325842018107411</v>
      </c>
      <c r="BB113" s="28" t="n">
        <v>2</v>
      </c>
      <c r="BC113" t="n">
        <v>0</v>
      </c>
      <c r="BD113" t="n">
        <v>1</v>
      </c>
      <c r="BE113" t="n">
        <v>1</v>
      </c>
      <c r="BF113" t="n">
        <v>0</v>
      </c>
      <c r="BG113" t="n">
        <v>0</v>
      </c>
      <c r="BH113" t="n">
        <v>0</v>
      </c>
    </row>
    <row r="114">
      <c r="A114" s="4" t="inlineStr">
        <is>
          <t>Kotak Large Cap Fund</t>
        </is>
      </c>
      <c r="B114" s="4" t="inlineStr">
        <is>
          <t>large cap</t>
        </is>
      </c>
      <c r="C114" s="4" t="inlineStr">
        <is>
          <t>Nifty 100 TRI</t>
        </is>
      </c>
      <c r="D114" s="4" t="inlineStr">
        <is>
          <t>Very High</t>
        </is>
      </c>
      <c r="E114" s="4" t="inlineStr">
        <is>
          <t>Very High</t>
        </is>
      </c>
      <c r="F114" s="12" t="n">
        <v>46023</v>
      </c>
      <c r="G114" s="4" t="n">
        <v>595.3630000000001</v>
      </c>
      <c r="H114" s="4" t="n">
        <v>688.314</v>
      </c>
      <c r="I114" s="4" t="n">
        <v>9.482628999999999</v>
      </c>
      <c r="J114" s="4" t="n">
        <v>-0.4452470000000002</v>
      </c>
      <c r="K114" s="4" t="n">
        <v>9.927875999999999</v>
      </c>
      <c r="L114" s="4" t="n">
        <v>17.163546</v>
      </c>
      <c r="M114" s="4" t="n">
        <v>2.442962</v>
      </c>
      <c r="N114" s="4" t="n">
        <v>14.720584</v>
      </c>
      <c r="O114" s="4" t="n">
        <v>16.48139</v>
      </c>
      <c r="P114" s="4" t="n">
        <v>1.632088000000001</v>
      </c>
      <c r="Q114" s="4" t="n">
        <v>14.849302</v>
      </c>
      <c r="R114" s="4" t="n">
        <v>14.68062</v>
      </c>
      <c r="S114" s="4" t="n">
        <v>0.6739269999999991</v>
      </c>
      <c r="T114" s="4" t="n">
        <v>14.006693</v>
      </c>
      <c r="U114" s="4" t="n">
        <v>15.004085</v>
      </c>
      <c r="V114" s="4" t="n">
        <v>11095.08</v>
      </c>
      <c r="W114" s="4" t="n">
        <v>-0.2741793518258003</v>
      </c>
      <c r="X114" s="4" t="n">
        <v>-0.9460523967095924</v>
      </c>
      <c r="Y114" s="4" t="n">
        <v>0.2039022051504339</v>
      </c>
      <c r="Z114" s="4" t="n">
        <v>-0.2908348424464118</v>
      </c>
      <c r="AA114" s="4" t="n">
        <v>0.9908539730256398</v>
      </c>
      <c r="AB114" s="4" t="n">
        <v>0.4152981263834326</v>
      </c>
      <c r="AC114" s="4" t="n">
        <v>0.5694281657696032</v>
      </c>
      <c r="AD114" s="4" t="n">
        <v>0.05101438835979824</v>
      </c>
      <c r="AE114" s="4" t="n">
        <v>8.261991</v>
      </c>
      <c r="AF114" s="4" t="n">
        <v>13.306954</v>
      </c>
      <c r="AG114" s="4" t="n">
        <v>15.795134</v>
      </c>
      <c r="AH114" s="4" t="n">
        <v>15.089889</v>
      </c>
      <c r="AI114" s="4" t="n"/>
      <c r="AJ114" s="4" t="n">
        <v>13.635086</v>
      </c>
      <c r="AK114" s="4" t="n">
        <v>16.323116</v>
      </c>
      <c r="AL114" s="4" t="inlineStr">
        <is>
          <t>Equity Scheme - Large Cap Fund</t>
        </is>
      </c>
      <c r="AM114" s="4" t="n">
        <v>1.6</v>
      </c>
      <c r="AN114" s="4" t="n">
        <v>0</v>
      </c>
      <c r="AO114" s="4" t="n">
        <v>0.05</v>
      </c>
      <c r="AP114" s="4" t="n">
        <v>0.08</v>
      </c>
      <c r="AQ114" s="4" t="n">
        <v>1.73</v>
      </c>
      <c r="AR114" s="4" t="n">
        <v>0.55</v>
      </c>
      <c r="AS114" s="4" t="n">
        <v>0</v>
      </c>
      <c r="AT114" s="4" t="n">
        <v>0</v>
      </c>
      <c r="AU114" s="4" t="n">
        <v>0.08</v>
      </c>
      <c r="AV114" s="4" t="n">
        <v>0.63</v>
      </c>
      <c r="AW114" s="17" t="n">
        <v>-0.2108141626739007</v>
      </c>
      <c r="AX114" t="inlineStr">
        <is>
          <t>23cr</t>
        </is>
      </c>
      <c r="AY114" s="26" t="n">
        <v>1.305600486764176</v>
      </c>
      <c r="AZ114" s="26" t="n">
        <v>1.334652495697384</v>
      </c>
      <c r="BA114" s="26" t="n">
        <v>0.4773362210554111</v>
      </c>
      <c r="BB114" s="28" t="n">
        <v>3</v>
      </c>
      <c r="BC114" t="n">
        <v>1</v>
      </c>
      <c r="BD114" t="n">
        <v>0</v>
      </c>
      <c r="BE114" t="n">
        <v>1</v>
      </c>
      <c r="BF114" t="n">
        <v>0</v>
      </c>
      <c r="BG114" t="n">
        <v>0</v>
      </c>
      <c r="BH114" t="n">
        <v>1</v>
      </c>
    </row>
    <row r="115">
      <c r="A115" s="4" t="inlineStr">
        <is>
          <t>LIC MF Large Cap Fund</t>
        </is>
      </c>
      <c r="B115" s="4" t="inlineStr">
        <is>
          <t>large cap</t>
        </is>
      </c>
      <c r="C115" s="4" t="inlineStr">
        <is>
          <t>Nifty 100 TRI</t>
        </is>
      </c>
      <c r="D115" s="4" t="inlineStr">
        <is>
          <t>Very High</t>
        </is>
      </c>
      <c r="E115" s="4" t="inlineStr">
        <is>
          <t>Very High</t>
        </is>
      </c>
      <c r="F115" s="12" t="n">
        <v>46023</v>
      </c>
      <c r="G115" s="4" t="n">
        <v>57.3521</v>
      </c>
      <c r="H115" s="4" t="n">
        <v>65.52119999999999</v>
      </c>
      <c r="I115" s="4" t="n">
        <v>6.536631</v>
      </c>
      <c r="J115" s="4" t="n">
        <v>-3.391245</v>
      </c>
      <c r="K115" s="4" t="n">
        <v>9.927875999999999</v>
      </c>
      <c r="L115" s="4" t="n">
        <v>13.480012</v>
      </c>
      <c r="M115" s="4" t="n">
        <v>-1.240572</v>
      </c>
      <c r="N115" s="4" t="n">
        <v>14.720584</v>
      </c>
      <c r="O115" s="4" t="n">
        <v>12.816499</v>
      </c>
      <c r="P115" s="4" t="n">
        <v>-2.032802999999999</v>
      </c>
      <c r="Q115" s="4" t="n">
        <v>14.849302</v>
      </c>
      <c r="R115" s="4" t="n">
        <v>12.601311</v>
      </c>
      <c r="S115" s="4" t="n">
        <v>-1.405381999999999</v>
      </c>
      <c r="T115" s="4" t="n">
        <v>14.006693</v>
      </c>
      <c r="U115" s="4" t="n">
        <v>12.925824</v>
      </c>
      <c r="V115" s="4" t="n">
        <v>1493.41</v>
      </c>
      <c r="W115" s="4" t="n">
        <v>-0.8927740986844767</v>
      </c>
      <c r="X115" s="4" t="n">
        <v>-1.210653308378409</v>
      </c>
      <c r="Y115" s="4" t="n">
        <v>-0.3840301368595162</v>
      </c>
      <c r="Z115" s="4" t="n">
        <v>-0.699560052899431</v>
      </c>
      <c r="AA115" s="4" t="n">
        <v>-0.3992002818814353</v>
      </c>
      <c r="AB115" s="4" t="n">
        <v>-0.7988930258291373</v>
      </c>
      <c r="AC115" s="4" t="n">
        <v>-0.6548649512779872</v>
      </c>
      <c r="AD115" s="4" t="n">
        <v>-1.087490233070208</v>
      </c>
      <c r="AE115" s="4" t="n">
        <v>5.352482</v>
      </c>
      <c r="AF115" s="4" t="n">
        <v>11.342294</v>
      </c>
      <c r="AG115" s="4" t="n">
        <v>12.233932</v>
      </c>
      <c r="AH115" s="4" t="n">
        <v>11.470171</v>
      </c>
      <c r="AI115" s="4" t="n"/>
      <c r="AJ115" s="4" t="n">
        <v>13.635086</v>
      </c>
      <c r="AK115" s="4" t="n">
        <v>10.501549</v>
      </c>
      <c r="AL115" s="4" t="inlineStr">
        <is>
          <t>Equity Scheme - Large Cap Fund</t>
        </is>
      </c>
      <c r="AM115" s="4" t="n">
        <v>1.97</v>
      </c>
      <c r="AN115" s="4" t="n">
        <v>0</v>
      </c>
      <c r="AO115" s="4" t="n">
        <v>0.05</v>
      </c>
      <c r="AP115" s="4" t="n">
        <v>0.14</v>
      </c>
      <c r="AQ115" s="4" t="n">
        <v>2.16</v>
      </c>
      <c r="AR115" s="4" t="n">
        <v>0.91</v>
      </c>
      <c r="AS115" s="4" t="n">
        <v>0</v>
      </c>
      <c r="AT115" s="4" t="n">
        <v>0.05</v>
      </c>
      <c r="AU115" s="4" t="n">
        <v>0.14</v>
      </c>
      <c r="AV115" s="4" t="n">
        <v>1.1</v>
      </c>
      <c r="AW115" s="17" t="n">
        <v>0.4787700631440705</v>
      </c>
      <c r="AX115" s="18" t="inlineStr">
        <is>
          <t>-7cr</t>
        </is>
      </c>
      <c r="AY115" s="26" t="n">
        <v>1.218275728780464</v>
      </c>
      <c r="AZ115" s="26" t="n">
        <v>1.334652495697384</v>
      </c>
      <c r="BA115" s="26" t="n">
        <v>0.4963040805684895</v>
      </c>
      <c r="BB115" s="28" t="n">
        <v>2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1</v>
      </c>
    </row>
    <row r="116">
      <c r="A116" s="4" t="inlineStr">
        <is>
          <t>Mahindra Manulife Large Cap Fund</t>
        </is>
      </c>
      <c r="B116" s="4" t="inlineStr">
        <is>
          <t>large cap</t>
        </is>
      </c>
      <c r="C116" s="4" t="inlineStr">
        <is>
          <t>Nifty 100 TRI</t>
        </is>
      </c>
      <c r="D116" s="4" t="inlineStr">
        <is>
          <t>Very High</t>
        </is>
      </c>
      <c r="E116" s="4" t="inlineStr">
        <is>
          <t>Very High</t>
        </is>
      </c>
      <c r="F116" s="12" t="n">
        <v>46023</v>
      </c>
      <c r="G116" s="4" t="n">
        <v>24.0084</v>
      </c>
      <c r="H116" s="4" t="n">
        <v>27.1406</v>
      </c>
      <c r="I116" s="4" t="n">
        <v>11.099922</v>
      </c>
      <c r="J116" s="4" t="n">
        <v>1.172046</v>
      </c>
      <c r="K116" s="4" t="n">
        <v>9.927875999999999</v>
      </c>
      <c r="L116" s="4" t="n">
        <v>16.6365</v>
      </c>
      <c r="M116" s="4" t="n">
        <v>1.915916000000001</v>
      </c>
      <c r="N116" s="4" t="n">
        <v>14.720584</v>
      </c>
      <c r="O116" s="4" t="n">
        <v>16.751736</v>
      </c>
      <c r="P116" s="4" t="n">
        <v>1.902434000000001</v>
      </c>
      <c r="Q116" s="4" t="n">
        <v>14.849302</v>
      </c>
      <c r="R116" s="4" t="n"/>
      <c r="S116" s="4" t="n"/>
      <c r="T116" s="4" t="n"/>
      <c r="U116" s="4" t="n">
        <v>15.802043</v>
      </c>
      <c r="V116" s="4" t="n">
        <v>758.38</v>
      </c>
      <c r="W116" s="4" t="n">
        <v>0.4253376007941003</v>
      </c>
      <c r="X116" s="4" t="n">
        <v>-0.3200673771756214</v>
      </c>
      <c r="Y116" s="4" t="n"/>
      <c r="Z116" s="4" t="n"/>
      <c r="AA116" s="4" t="n">
        <v>0.6989472307877383</v>
      </c>
      <c r="AB116" s="4" t="n">
        <v>-0.04376802048016339</v>
      </c>
      <c r="AC116" s="4" t="n">
        <v>0.6453510681492513</v>
      </c>
      <c r="AD116" s="4" t="n">
        <v>-0.06546070585940737</v>
      </c>
      <c r="AE116" s="4" t="n">
        <v>9.269651</v>
      </c>
      <c r="AF116" s="4" t="n"/>
      <c r="AG116" s="4" t="n">
        <v>14.685794</v>
      </c>
      <c r="AH116" s="4" t="n">
        <v>14.725798</v>
      </c>
      <c r="AI116" s="4" t="n">
        <v>14.338611</v>
      </c>
      <c r="AJ116" s="4" t="n">
        <v>14.338611</v>
      </c>
      <c r="AK116" s="4" t="n">
        <v>13.734109</v>
      </c>
      <c r="AL116" s="4" t="inlineStr">
        <is>
          <t>Equity Scheme - Large Cap Fund</t>
        </is>
      </c>
      <c r="AM116" s="4" t="n">
        <v>2.17</v>
      </c>
      <c r="AN116" s="4" t="n">
        <v>0</v>
      </c>
      <c r="AO116" s="4" t="n">
        <v>0.05</v>
      </c>
      <c r="AP116" s="4" t="n">
        <v>0.08</v>
      </c>
      <c r="AQ116" s="4" t="n">
        <v>2.3</v>
      </c>
      <c r="AR116" s="4" t="n">
        <v>0.51</v>
      </c>
      <c r="AS116" s="4" t="n">
        <v>0</v>
      </c>
      <c r="AT116" s="4" t="n">
        <v>0.05</v>
      </c>
      <c r="AU116" s="4" t="n">
        <v>0.08</v>
      </c>
      <c r="AV116" s="4" t="n">
        <v>0.64</v>
      </c>
      <c r="AW116" s="17" t="n">
        <v>-1.313325773359007</v>
      </c>
      <c r="AX116" t="inlineStr">
        <is>
          <t>10cr</t>
        </is>
      </c>
      <c r="AY116" s="26" t="n">
        <v>1.617505595163846</v>
      </c>
      <c r="AZ116" s="26" t="n">
        <v>1.334652495697384</v>
      </c>
      <c r="BA116" s="26" t="n">
        <v>0.4726326077698704</v>
      </c>
      <c r="BB116" s="28" t="n">
        <v>3</v>
      </c>
      <c r="BC116" t="n">
        <v>1</v>
      </c>
      <c r="BD116" t="n">
        <v>0</v>
      </c>
      <c r="BE116" t="n">
        <v>1</v>
      </c>
      <c r="BF116" t="n">
        <v>1</v>
      </c>
      <c r="BG116" t="n">
        <v>0</v>
      </c>
      <c r="BH116" t="n">
        <v>0</v>
      </c>
    </row>
    <row r="117">
      <c r="A117" s="4" t="inlineStr">
        <is>
          <t>Mirae Asset Large Cap Fund</t>
        </is>
      </c>
      <c r="B117" s="4" t="inlineStr">
        <is>
          <t>large cap</t>
        </is>
      </c>
      <c r="C117" s="4" t="inlineStr">
        <is>
          <t>Nifty 100 TRI</t>
        </is>
      </c>
      <c r="D117" s="4" t="inlineStr">
        <is>
          <t>Very High</t>
        </is>
      </c>
      <c r="E117" s="4" t="inlineStr">
        <is>
          <t>Very High</t>
        </is>
      </c>
      <c r="F117" s="12" t="n">
        <v>46023</v>
      </c>
      <c r="G117" s="4" t="n">
        <v>117.84</v>
      </c>
      <c r="H117" s="4" t="n">
        <v>133.42</v>
      </c>
      <c r="I117" s="4" t="n">
        <v>10.907912</v>
      </c>
      <c r="J117" s="4" t="n">
        <v>0.9800360000000001</v>
      </c>
      <c r="K117" s="4" t="n">
        <v>9.927875999999999</v>
      </c>
      <c r="L117" s="4" t="n">
        <v>14.823461</v>
      </c>
      <c r="M117" s="4" t="n">
        <v>0.1028769999999994</v>
      </c>
      <c r="N117" s="4" t="n">
        <v>14.720584</v>
      </c>
      <c r="O117" s="4" t="n">
        <v>14.881087</v>
      </c>
      <c r="P117" s="4" t="n">
        <v>0.03178500000000106</v>
      </c>
      <c r="Q117" s="4" t="n">
        <v>14.849302</v>
      </c>
      <c r="R117" s="4" t="n">
        <v>14.840257</v>
      </c>
      <c r="S117" s="4" t="n">
        <v>0.8335639999999991</v>
      </c>
      <c r="T117" s="4" t="n">
        <v>14.006693</v>
      </c>
      <c r="U117" s="4" t="n">
        <v>16.180887</v>
      </c>
      <c r="V117" s="4" t="n">
        <v>41806.98</v>
      </c>
      <c r="W117" s="4" t="n">
        <v>0.5412816885746894</v>
      </c>
      <c r="X117" s="4" t="n">
        <v>-0.07105109216535367</v>
      </c>
      <c r="Y117" s="4" t="n">
        <v>0.2614121142869896</v>
      </c>
      <c r="Z117" s="4" t="n">
        <v>-0.1038408791750691</v>
      </c>
      <c r="AA117" s="4" t="n">
        <v>0.003084977411663149</v>
      </c>
      <c r="AB117" s="4" t="n">
        <v>-0.4349148403027833</v>
      </c>
      <c r="AC117" s="4" t="n">
        <v>-0.02833612910873377</v>
      </c>
      <c r="AD117" s="4" t="n">
        <v>-0.4451585410989647</v>
      </c>
      <c r="AE117" s="4" t="n">
        <v>9.842377000000001</v>
      </c>
      <c r="AF117" s="4" t="n">
        <v>13.742222</v>
      </c>
      <c r="AG117" s="4" t="n">
        <v>13.699218</v>
      </c>
      <c r="AH117" s="4" t="n">
        <v>13.723215</v>
      </c>
      <c r="AI117" s="4" t="n">
        <v>11.99775</v>
      </c>
      <c r="AJ117" s="4" t="n">
        <v>13.635086</v>
      </c>
      <c r="AK117" s="4" t="n">
        <v>14.903582</v>
      </c>
      <c r="AL117" s="4" t="inlineStr">
        <is>
          <t>Equity Scheme - Large Cap Fund</t>
        </is>
      </c>
      <c r="AM117" s="4" t="n">
        <v>1.39</v>
      </c>
      <c r="AN117" s="4" t="n">
        <v>0</v>
      </c>
      <c r="AO117" s="4" t="n">
        <v>0.05</v>
      </c>
      <c r="AP117" s="4" t="n">
        <v>0.07000000000000001</v>
      </c>
      <c r="AQ117" s="4" t="n">
        <v>1.51</v>
      </c>
      <c r="AR117" s="4" t="n">
        <v>0.42</v>
      </c>
      <c r="AS117" s="4" t="n">
        <v>0</v>
      </c>
      <c r="AT117" s="4" t="n">
        <v>0.05</v>
      </c>
      <c r="AU117" s="4" t="n">
        <v>0.07000000000000001</v>
      </c>
      <c r="AV117" s="4" t="n">
        <v>0.54</v>
      </c>
      <c r="AW117" s="17" t="n">
        <v>0.06699838160994828</v>
      </c>
      <c r="AX117" s="18" t="inlineStr">
        <is>
          <t>-28cr</t>
        </is>
      </c>
      <c r="AY117" s="26" t="n">
        <v>1.527018657815253</v>
      </c>
      <c r="AZ117" s="26" t="n">
        <v>1.334652495697384</v>
      </c>
      <c r="BA117" s="26" t="n">
        <v>0.4627983867636157</v>
      </c>
      <c r="BB117" s="28" t="n">
        <v>4</v>
      </c>
      <c r="BC117" t="n">
        <v>1</v>
      </c>
      <c r="BD117" t="n">
        <v>1</v>
      </c>
      <c r="BE117" t="n">
        <v>1</v>
      </c>
      <c r="BF117" t="n">
        <v>1</v>
      </c>
      <c r="BG117" t="n">
        <v>0</v>
      </c>
      <c r="BH117" t="n">
        <v>0</v>
      </c>
    </row>
    <row r="118">
      <c r="A118" s="4" t="inlineStr">
        <is>
          <t>Motilal Oswal Large Cap Fund</t>
        </is>
      </c>
      <c r="B118" s="4" t="inlineStr">
        <is>
          <t>large cap</t>
        </is>
      </c>
      <c r="C118" s="4" t="inlineStr">
        <is>
          <t>Nifty 100 TRI</t>
        </is>
      </c>
      <c r="D118" s="4" t="inlineStr">
        <is>
          <t>Very High</t>
        </is>
      </c>
      <c r="E118" s="4" t="inlineStr">
        <is>
          <t>Very High</t>
        </is>
      </c>
      <c r="F118" s="12" t="n">
        <v>46023</v>
      </c>
      <c r="G118" s="4" t="n">
        <v>14.3002</v>
      </c>
      <c r="H118" s="4" t="n">
        <v>14.6586</v>
      </c>
      <c r="I118" s="4" t="n">
        <v>9.6995325</v>
      </c>
      <c r="J118" s="4" t="n">
        <v>-0.2283434999999994</v>
      </c>
      <c r="K118" s="4" t="n">
        <v>9.927875999999999</v>
      </c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>
        <v>22.244247</v>
      </c>
      <c r="V118" s="4" t="n">
        <v>3074.99</v>
      </c>
      <c r="W118" s="4" t="n">
        <v>-0.06478505511736256</v>
      </c>
      <c r="X118" s="4" t="n">
        <v>-0.506379175650312</v>
      </c>
      <c r="Y118" s="4" t="n"/>
      <c r="Z118" s="4" t="n"/>
      <c r="AA118" s="4" t="n"/>
      <c r="AB118" s="4" t="n"/>
      <c r="AC118" s="4" t="n"/>
      <c r="AD118" s="4" t="n"/>
      <c r="AE118" s="4" t="n">
        <v>8.354549</v>
      </c>
      <c r="AF118" s="4" t="n"/>
      <c r="AG118" s="4" t="n"/>
      <c r="AH118" s="4" t="n"/>
      <c r="AI118" s="4" t="n">
        <v>11.240092</v>
      </c>
      <c r="AJ118" s="4" t="n">
        <v>11.240092</v>
      </c>
      <c r="AK118" s="4" t="n">
        <v>20.665342</v>
      </c>
      <c r="AL118" s="4" t="inlineStr">
        <is>
          <t>Equity Scheme - Large Cap Fund</t>
        </is>
      </c>
      <c r="AM118" s="4" t="n">
        <v>1.8</v>
      </c>
      <c r="AN118" s="4" t="n">
        <v>0</v>
      </c>
      <c r="AO118" s="4" t="n">
        <v>0.05</v>
      </c>
      <c r="AP118" s="4" t="n">
        <v>0.1</v>
      </c>
      <c r="AQ118" s="4" t="n">
        <v>1.95</v>
      </c>
      <c r="AR118" s="4" t="n">
        <v>0.66</v>
      </c>
      <c r="AS118" s="4" t="n">
        <v>0</v>
      </c>
      <c r="AT118" s="4" t="n">
        <v>0.05</v>
      </c>
      <c r="AU118" s="4" t="n">
        <v>0.1</v>
      </c>
      <c r="AV118" s="4" t="n">
        <v>0.8100000000000001</v>
      </c>
      <c r="AW118" s="17" t="n">
        <v>-1.758054497738202</v>
      </c>
      <c r="AX118" t="inlineStr">
        <is>
          <t>54cr</t>
        </is>
      </c>
      <c r="AZ118" s="26" t="n">
        <v>1.334652495697384</v>
      </c>
      <c r="BB118" s="28" t="n">
        <v>2</v>
      </c>
      <c r="BC118" t="n">
        <v>1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</row>
    <row r="119">
      <c r="A119" s="4" t="inlineStr">
        <is>
          <t>Nippon India Large Cap Fund</t>
        </is>
      </c>
      <c r="B119" s="4" t="inlineStr">
        <is>
          <t>large cap</t>
        </is>
      </c>
      <c r="C119" s="4" t="inlineStr">
        <is>
          <t>BSE 100 TRI</t>
        </is>
      </c>
      <c r="D119" s="4" t="inlineStr">
        <is>
          <t>Very High</t>
        </is>
      </c>
      <c r="E119" s="4" t="inlineStr">
        <is>
          <t>Very High</t>
        </is>
      </c>
      <c r="F119" s="12" t="n">
        <v>46023</v>
      </c>
      <c r="G119" s="4" t="n">
        <v>94.1253</v>
      </c>
      <c r="H119" s="4" t="n">
        <v>105.4001</v>
      </c>
      <c r="I119" s="4" t="n">
        <v>9.664628</v>
      </c>
      <c r="J119" s="4" t="n">
        <v>-0.4843869999999999</v>
      </c>
      <c r="K119" s="4" t="n">
        <v>10.149015</v>
      </c>
      <c r="L119" s="4" t="n">
        <v>20.460358</v>
      </c>
      <c r="M119" s="4" t="n">
        <v>4.912822999999999</v>
      </c>
      <c r="N119" s="4" t="n">
        <v>15.547535</v>
      </c>
      <c r="O119" s="4" t="n">
        <v>21.128195</v>
      </c>
      <c r="P119" s="4" t="n">
        <v>5.530563000000001</v>
      </c>
      <c r="Q119" s="4" t="n">
        <v>15.597632</v>
      </c>
      <c r="R119" s="4" t="n">
        <v>15.857274</v>
      </c>
      <c r="S119" s="4" t="n">
        <v>1.452018000000001</v>
      </c>
      <c r="T119" s="4" t="n">
        <v>14.405256</v>
      </c>
      <c r="U119" s="4" t="n">
        <v>16.356134</v>
      </c>
      <c r="V119" s="4" t="n">
        <v>50921.77</v>
      </c>
      <c r="W119" s="4" t="n">
        <v>-0.2114412453613002</v>
      </c>
      <c r="X119" s="4" t="n">
        <v>-0.5988201326517576</v>
      </c>
      <c r="Y119" s="4" t="n">
        <v>0.3122052624172204</v>
      </c>
      <c r="Z119" s="4" t="n">
        <v>0.1017173638826649</v>
      </c>
      <c r="AA119" s="4" t="n">
        <v>1.651695816319672</v>
      </c>
      <c r="AB119" s="4" t="n">
        <v>1.312804035371746</v>
      </c>
      <c r="AC119" s="4" t="n">
        <v>1.53814933327196</v>
      </c>
      <c r="AD119" s="4" t="n">
        <v>1.260717081232502</v>
      </c>
      <c r="AE119" s="4" t="n">
        <v>8.739447</v>
      </c>
      <c r="AF119" s="4" t="n">
        <v>14.791089</v>
      </c>
      <c r="AG119" s="4" t="n">
        <v>19.440882</v>
      </c>
      <c r="AH119" s="4" t="n">
        <v>20.110416</v>
      </c>
      <c r="AI119" s="4" t="n">
        <v>11.6793375</v>
      </c>
      <c r="AJ119" s="4" t="n">
        <v>13.800322</v>
      </c>
      <c r="AK119" s="4" t="n">
        <v>12.948237</v>
      </c>
      <c r="AL119" s="4" t="inlineStr">
        <is>
          <t>Equity Scheme - Large Cap Fund</t>
        </is>
      </c>
      <c r="AM119" s="4" t="n">
        <v>1.34</v>
      </c>
      <c r="AN119" s="4" t="n">
        <v>0</v>
      </c>
      <c r="AO119" s="4" t="n">
        <v>0.05</v>
      </c>
      <c r="AP119" s="4" t="n">
        <v>0.09</v>
      </c>
      <c r="AQ119" s="4" t="n">
        <v>1.48</v>
      </c>
      <c r="AR119" s="4" t="n">
        <v>0.52</v>
      </c>
      <c r="AS119" s="4" t="n">
        <v>0</v>
      </c>
      <c r="AT119" s="4" t="n">
        <v>0.05</v>
      </c>
      <c r="AU119" s="4" t="n">
        <v>0.09</v>
      </c>
      <c r="AV119" s="4" t="n">
        <v>0.66</v>
      </c>
      <c r="AW119" s="17" t="n">
        <v>-1.331022075626984</v>
      </c>
      <c r="AX119" t="inlineStr">
        <is>
          <t>678cr</t>
        </is>
      </c>
      <c r="AY119" s="26" t="n">
        <v>1.019439168157581</v>
      </c>
      <c r="AZ119" s="26" t="n">
        <v>1.334652495697384</v>
      </c>
      <c r="BA119" s="26" t="n">
        <v>0.4670551369886555</v>
      </c>
      <c r="BB119" s="28" t="n">
        <v>3</v>
      </c>
      <c r="BC119" t="n">
        <v>1</v>
      </c>
      <c r="BD119" t="n">
        <v>0</v>
      </c>
      <c r="BE119" t="n">
        <v>1</v>
      </c>
      <c r="BF119" t="n">
        <v>0</v>
      </c>
      <c r="BG119" t="n">
        <v>0</v>
      </c>
      <c r="BH119" t="n">
        <v>1</v>
      </c>
    </row>
    <row r="120">
      <c r="A120" s="4" t="inlineStr">
        <is>
          <t>PGIM India Large Cap Fund</t>
        </is>
      </c>
      <c r="B120" s="4" t="inlineStr">
        <is>
          <t>large cap</t>
        </is>
      </c>
      <c r="C120" s="4" t="inlineStr">
        <is>
          <t>Nifty 100 TRI</t>
        </is>
      </c>
      <c r="D120" s="4" t="inlineStr">
        <is>
          <t>Very High</t>
        </is>
      </c>
      <c r="E120" s="4" t="inlineStr">
        <is>
          <t>Very High</t>
        </is>
      </c>
      <c r="F120" s="12" t="n">
        <v>46023</v>
      </c>
      <c r="G120" s="4" t="n">
        <v>349.97</v>
      </c>
      <c r="H120" s="4" t="n">
        <v>418.11</v>
      </c>
      <c r="I120" s="4" t="n">
        <v>8.467585</v>
      </c>
      <c r="J120" s="4" t="n">
        <v>-1.460291</v>
      </c>
      <c r="K120" s="4" t="n">
        <v>9.927875999999999</v>
      </c>
      <c r="L120" s="4" t="n">
        <v>13.733552</v>
      </c>
      <c r="M120" s="4" t="n">
        <v>-0.987032000000001</v>
      </c>
      <c r="N120" s="4" t="n">
        <v>14.720584</v>
      </c>
      <c r="O120" s="4" t="n">
        <v>13.133633</v>
      </c>
      <c r="P120" s="4" t="n">
        <v>-1.715669</v>
      </c>
      <c r="Q120" s="4" t="n">
        <v>14.849302</v>
      </c>
      <c r="R120" s="4" t="n">
        <v>12.637311</v>
      </c>
      <c r="S120" s="4" t="n">
        <v>-1.369382</v>
      </c>
      <c r="T120" s="4" t="n">
        <v>14.006693</v>
      </c>
      <c r="U120" s="4" t="n">
        <v>13.733665</v>
      </c>
      <c r="V120" s="4" t="n">
        <v>598.1</v>
      </c>
      <c r="W120" s="4" t="n">
        <v>-0.5239980513495063</v>
      </c>
      <c r="X120" s="4" t="n">
        <v>-1.100118197655751</v>
      </c>
      <c r="Y120" s="4" t="n">
        <v>-0.4168172674637297</v>
      </c>
      <c r="Z120" s="4" t="n">
        <v>-0.8904050344233215</v>
      </c>
      <c r="AA120" s="4" t="n">
        <v>-0.3462224233453491</v>
      </c>
      <c r="AB120" s="4" t="n">
        <v>-0.8826942874879617</v>
      </c>
      <c r="AC120" s="4" t="n">
        <v>-0.5398862998759336</v>
      </c>
      <c r="AD120" s="4" t="n">
        <v>-1.043094125606262</v>
      </c>
      <c r="AE120" s="4" t="n">
        <v>6.8284492</v>
      </c>
      <c r="AF120" s="4" t="n">
        <v>10.970173</v>
      </c>
      <c r="AG120" s="4" t="n">
        <v>12.019426</v>
      </c>
      <c r="AH120" s="4" t="n">
        <v>11.436921</v>
      </c>
      <c r="AI120" s="4" t="n">
        <v>17.23402</v>
      </c>
      <c r="AJ120" s="4" t="n">
        <v>13.635086</v>
      </c>
      <c r="AK120" s="4" t="n">
        <v>16.765945</v>
      </c>
      <c r="AL120" s="4" t="inlineStr">
        <is>
          <t>Equity Scheme - Large Cap Fund</t>
        </is>
      </c>
      <c r="AM120" s="4" t="n">
        <v>2.22</v>
      </c>
      <c r="AN120" s="4" t="n">
        <v>0</v>
      </c>
      <c r="AO120" s="4" t="n">
        <v>0.05</v>
      </c>
      <c r="AP120" s="4" t="n">
        <v>0.12</v>
      </c>
      <c r="AQ120" s="4" t="n">
        <v>2.39</v>
      </c>
      <c r="AR120" s="4" t="n">
        <v>0.6899999999999999</v>
      </c>
      <c r="AS120" s="4" t="n">
        <v>0</v>
      </c>
      <c r="AT120" s="4" t="n">
        <v>0.05</v>
      </c>
      <c r="AU120" s="4" t="n">
        <v>0.11</v>
      </c>
      <c r="AV120" s="4" t="n">
        <v>0.85</v>
      </c>
      <c r="AW120" s="17" t="n">
        <v>1.146965390402945</v>
      </c>
      <c r="AX120" s="18" t="inlineStr">
        <is>
          <t>-7cr</t>
        </is>
      </c>
      <c r="AY120" s="26" t="n">
        <v>1.253241823692921</v>
      </c>
      <c r="AZ120" s="26" t="n">
        <v>1.334652495697384</v>
      </c>
      <c r="BA120" s="26" t="n">
        <v>0.5056008610155507</v>
      </c>
      <c r="BB120" s="28" t="n">
        <v>4</v>
      </c>
      <c r="BC120" t="n">
        <v>1</v>
      </c>
      <c r="BD120" t="n">
        <v>1</v>
      </c>
      <c r="BE120" t="n">
        <v>1</v>
      </c>
      <c r="BF120" t="n">
        <v>0</v>
      </c>
      <c r="BG120" t="n">
        <v>0</v>
      </c>
      <c r="BH120" t="n">
        <v>1</v>
      </c>
    </row>
    <row r="121">
      <c r="A121" s="4" t="inlineStr">
        <is>
          <t>SBI Large Cap Fund</t>
        </is>
      </c>
      <c r="B121" s="4" t="inlineStr">
        <is>
          <t>large cap</t>
        </is>
      </c>
      <c r="C121" s="4" t="inlineStr">
        <is>
          <t>BSE 100 TRI</t>
        </is>
      </c>
      <c r="D121" s="4" t="inlineStr">
        <is>
          <t>Very High</t>
        </is>
      </c>
      <c r="E121" s="4" t="inlineStr">
        <is>
          <t>Very High</t>
        </is>
      </c>
      <c r="F121" s="12" t="n">
        <v>46023</v>
      </c>
      <c r="G121" s="4" t="n">
        <v>96.5939</v>
      </c>
      <c r="H121" s="4" t="n">
        <v>107.3311</v>
      </c>
      <c r="I121" s="4" t="n">
        <v>10.40193</v>
      </c>
      <c r="J121" s="4" t="n">
        <v>0.2529149999999998</v>
      </c>
      <c r="K121" s="4" t="n">
        <v>10.149015</v>
      </c>
      <c r="L121" s="4" t="n">
        <v>15.682365</v>
      </c>
      <c r="M121" s="4" t="n">
        <v>0.1348300000000009</v>
      </c>
      <c r="N121" s="4" t="n">
        <v>15.547535</v>
      </c>
      <c r="O121" s="4" t="n">
        <v>15.552281</v>
      </c>
      <c r="P121" s="4" t="n">
        <v>-0.04535100000000014</v>
      </c>
      <c r="Q121" s="4" t="n">
        <v>15.597632</v>
      </c>
      <c r="R121" s="4" t="n">
        <v>13.915953</v>
      </c>
      <c r="S121" s="4" t="n">
        <v>-0.4893029999999996</v>
      </c>
      <c r="T121" s="4" t="n">
        <v>14.405256</v>
      </c>
      <c r="U121" s="4" t="n">
        <v>15.31065</v>
      </c>
      <c r="V121" s="4" t="n">
        <v>56039.43</v>
      </c>
      <c r="W121" s="4" t="n">
        <v>0.04756550396226393</v>
      </c>
      <c r="X121" s="4" t="n">
        <v>-0.2469864579296524</v>
      </c>
      <c r="Y121" s="4" t="n">
        <v>-0.1670422747191389</v>
      </c>
      <c r="Z121" s="4" t="n">
        <v>-0.4357012679271449</v>
      </c>
      <c r="AA121" s="4" t="n">
        <v>-0.01645008029555021</v>
      </c>
      <c r="AB121" s="4" t="n">
        <v>-0.2594177312596597</v>
      </c>
      <c r="AC121" s="4" t="n">
        <v>-0.05593606597529979</v>
      </c>
      <c r="AD121" s="4" t="n">
        <v>-0.3062507567950882</v>
      </c>
      <c r="AE121" s="4" t="n">
        <v>9.655766</v>
      </c>
      <c r="AF121" s="4" t="n">
        <v>12.955282</v>
      </c>
      <c r="AG121" s="4" t="n">
        <v>14.881857</v>
      </c>
      <c r="AH121" s="4" t="n">
        <v>14.732175</v>
      </c>
      <c r="AI121" s="4" t="n"/>
      <c r="AJ121" s="4" t="n">
        <v>13.800322</v>
      </c>
      <c r="AK121" s="4" t="n">
        <v>12.07584</v>
      </c>
      <c r="AL121" s="4" t="inlineStr">
        <is>
          <t>Equity Scheme - Large Cap Fund</t>
        </is>
      </c>
      <c r="AM121" s="4" t="n">
        <v>1.32</v>
      </c>
      <c r="AN121" s="4" t="n">
        <v>0</v>
      </c>
      <c r="AO121" s="4" t="n">
        <v>0.05</v>
      </c>
      <c r="AP121" s="4" t="n">
        <v>0.11</v>
      </c>
      <c r="AQ121" s="4" t="n">
        <v>1.48</v>
      </c>
      <c r="AR121" s="4" t="n">
        <v>0.64</v>
      </c>
      <c r="AS121" s="4" t="n">
        <v>0</v>
      </c>
      <c r="AT121" s="4" t="n">
        <v>0.05</v>
      </c>
      <c r="AU121" s="4" t="n">
        <v>0.11</v>
      </c>
      <c r="AV121" s="4" t="n">
        <v>0.8</v>
      </c>
      <c r="AW121" s="17" t="n">
        <v>-0.7467956044520796</v>
      </c>
      <c r="AX121" t="inlineStr">
        <is>
          <t>418cr</t>
        </is>
      </c>
      <c r="AY121" s="26" t="n">
        <v>1.369968801991875</v>
      </c>
      <c r="AZ121" s="26" t="n">
        <v>1.334652495697384</v>
      </c>
      <c r="BA121" s="26" t="n">
        <v>0.4278384876965797</v>
      </c>
      <c r="BB121" s="28" t="n">
        <v>3</v>
      </c>
      <c r="BC121" t="n">
        <v>1</v>
      </c>
      <c r="BD121" t="n">
        <v>0</v>
      </c>
      <c r="BE121" t="n">
        <v>1</v>
      </c>
      <c r="BF121" t="n">
        <v>1</v>
      </c>
      <c r="BG121" t="n">
        <v>0</v>
      </c>
      <c r="BH121" t="n">
        <v>0</v>
      </c>
    </row>
    <row r="122">
      <c r="A122" s="4" t="inlineStr">
        <is>
          <t>Tata Large Cap Fund</t>
        </is>
      </c>
      <c r="B122" s="4" t="inlineStr">
        <is>
          <t>large cap</t>
        </is>
      </c>
      <c r="C122" s="4" t="inlineStr">
        <is>
          <t>Nifty 100 TRI</t>
        </is>
      </c>
      <c r="D122" s="4" t="inlineStr">
        <is>
          <t>Very High</t>
        </is>
      </c>
      <c r="E122" s="4" t="inlineStr">
        <is>
          <t>Very High</t>
        </is>
      </c>
      <c r="F122" s="12" t="n">
        <v>46023</v>
      </c>
      <c r="G122" s="4" t="n">
        <v>528.2568</v>
      </c>
      <c r="H122" s="4" t="n">
        <v>609.2052</v>
      </c>
      <c r="I122" s="4" t="n">
        <v>10.198024</v>
      </c>
      <c r="J122" s="4" t="n">
        <v>0.2701480000000007</v>
      </c>
      <c r="K122" s="4" t="n">
        <v>9.927875999999999</v>
      </c>
      <c r="L122" s="4" t="n">
        <v>16.620674</v>
      </c>
      <c r="M122" s="4" t="n">
        <v>1.900090000000001</v>
      </c>
      <c r="N122" s="4" t="n">
        <v>14.720584</v>
      </c>
      <c r="O122" s="4" t="n">
        <v>17.18054</v>
      </c>
      <c r="P122" s="4" t="n">
        <v>2.331238000000001</v>
      </c>
      <c r="Q122" s="4" t="n">
        <v>14.849302</v>
      </c>
      <c r="R122" s="4" t="n">
        <v>13.900622</v>
      </c>
      <c r="S122" s="4" t="n">
        <v>-0.106071</v>
      </c>
      <c r="T122" s="4" t="n">
        <v>14.006693</v>
      </c>
      <c r="U122" s="4" t="n">
        <v>14.118866</v>
      </c>
      <c r="V122" s="4" t="n">
        <v>2849.35</v>
      </c>
      <c r="W122" s="4" t="n">
        <v>0.09000587853600037</v>
      </c>
      <c r="X122" s="4" t="n">
        <v>-0.3546903210721833</v>
      </c>
      <c r="Y122" s="4" t="n">
        <v>-0.03312613650535242</v>
      </c>
      <c r="Z122" s="4" t="n">
        <v>-0.4171553197153494</v>
      </c>
      <c r="AA122" s="4" t="n">
        <v>0.6673873393890672</v>
      </c>
      <c r="AB122" s="4" t="n">
        <v>0.2610593118728606</v>
      </c>
      <c r="AC122" s="4" t="n">
        <v>0.7299134758109254</v>
      </c>
      <c r="AD122" s="4" t="n">
        <v>0.3707052654930093</v>
      </c>
      <c r="AE122" s="4" t="n">
        <v>9.054268</v>
      </c>
      <c r="AF122" s="4" t="n">
        <v>12.612902</v>
      </c>
      <c r="AG122" s="4" t="n">
        <v>15.459298</v>
      </c>
      <c r="AH122" s="4" t="n">
        <v>16.041805</v>
      </c>
      <c r="AI122" s="4" t="n"/>
      <c r="AJ122" s="4" t="n">
        <v>13.635086</v>
      </c>
      <c r="AK122" s="4" t="n">
        <v>15.413091</v>
      </c>
      <c r="AL122" s="4" t="inlineStr">
        <is>
          <t>Equity Scheme - Large Cap Fund</t>
        </is>
      </c>
      <c r="AM122" s="4" t="n">
        <v>1.82</v>
      </c>
      <c r="AN122" s="4" t="n">
        <v>0</v>
      </c>
      <c r="AO122" s="4" t="n">
        <v>0.05</v>
      </c>
      <c r="AP122" s="4" t="n">
        <v>0.13</v>
      </c>
      <c r="AQ122" s="4" t="n">
        <v>2</v>
      </c>
      <c r="AR122" s="4" t="n">
        <v>0.8</v>
      </c>
      <c r="AS122" s="4" t="n">
        <v>0</v>
      </c>
      <c r="AT122" s="4" t="n">
        <v>0.05</v>
      </c>
      <c r="AU122" s="4" t="n">
        <v>0.13</v>
      </c>
      <c r="AV122" s="4" t="n">
        <v>0.98</v>
      </c>
      <c r="AW122" s="17" t="n">
        <v>-0.8047449418288324</v>
      </c>
      <c r="AX122" t="inlineStr">
        <is>
          <t>23cr</t>
        </is>
      </c>
      <c r="AY122" s="26" t="n">
        <v>1.330325942557701</v>
      </c>
      <c r="AZ122" s="26" t="n">
        <v>1.334652495697384</v>
      </c>
      <c r="BA122" s="26" t="n">
        <v>0.4874505376455704</v>
      </c>
      <c r="BB122" s="28" t="n">
        <v>3</v>
      </c>
      <c r="BC122" t="n">
        <v>1</v>
      </c>
      <c r="BD122" t="n">
        <v>0</v>
      </c>
      <c r="BE122" t="n">
        <v>0</v>
      </c>
      <c r="BF122" t="n">
        <v>1</v>
      </c>
      <c r="BG122" t="n">
        <v>0</v>
      </c>
      <c r="BH122" t="n">
        <v>1</v>
      </c>
    </row>
    <row r="123">
      <c r="A123" s="4" t="inlineStr">
        <is>
          <t>Taurus Large Cap Fund</t>
        </is>
      </c>
      <c r="B123" s="4" t="inlineStr">
        <is>
          <t>large cap</t>
        </is>
      </c>
      <c r="C123" s="4" t="inlineStr">
        <is>
          <t>BSE 100 TRI</t>
        </is>
      </c>
      <c r="D123" s="4" t="inlineStr">
        <is>
          <t>Very High</t>
        </is>
      </c>
      <c r="E123" s="4" t="inlineStr">
        <is>
          <t>Very High</t>
        </is>
      </c>
      <c r="F123" s="12" t="n">
        <v>46023</v>
      </c>
      <c r="G123" s="4" t="n">
        <v>161.29</v>
      </c>
      <c r="H123" s="4" t="n">
        <v>170.77</v>
      </c>
      <c r="I123" s="4" t="n">
        <v>4.2297363</v>
      </c>
      <c r="J123" s="4" t="n">
        <v>-5.9192787</v>
      </c>
      <c r="K123" s="4" t="n">
        <v>10.149015</v>
      </c>
      <c r="L123" s="4" t="n">
        <v>14.646049</v>
      </c>
      <c r="M123" s="4" t="n">
        <v>-0.9014860000000002</v>
      </c>
      <c r="N123" s="4" t="n">
        <v>15.547535</v>
      </c>
      <c r="O123" s="4" t="n">
        <v>13.638689</v>
      </c>
      <c r="P123" s="4" t="n">
        <v>-1.958943000000001</v>
      </c>
      <c r="Q123" s="4" t="n">
        <v>15.597632</v>
      </c>
      <c r="R123" s="4" t="n">
        <v>10.48568</v>
      </c>
      <c r="S123" s="4" t="n">
        <v>-3.919575999999999</v>
      </c>
      <c r="T123" s="4" t="n">
        <v>14.405256</v>
      </c>
      <c r="U123" s="4" t="n">
        <v>10.850569</v>
      </c>
      <c r="V123" s="4" t="n">
        <v>52.09</v>
      </c>
      <c r="W123" s="4" t="n">
        <v>-1.786531383769975</v>
      </c>
      <c r="X123" s="4" t="n">
        <v>-1.846490075517477</v>
      </c>
      <c r="Y123" s="4" t="n">
        <v>-0.8960030877670226</v>
      </c>
      <c r="Z123" s="4" t="n">
        <v>-0.9909166854320751</v>
      </c>
      <c r="AA123" s="4" t="n">
        <v>-0.1493673623082414</v>
      </c>
      <c r="AB123" s="4" t="n">
        <v>-0.1777379826240074</v>
      </c>
      <c r="AC123" s="4" t="n">
        <v>-0.350396360274469</v>
      </c>
      <c r="AD123" s="4" t="n">
        <v>-0.374736659326055</v>
      </c>
      <c r="AE123" s="4" t="n">
        <v>4.037928</v>
      </c>
      <c r="AF123" s="4" t="n">
        <v>10.073783</v>
      </c>
      <c r="AG123" s="4" t="n">
        <v>14.502365</v>
      </c>
      <c r="AH123" s="4" t="n">
        <v>13.51345</v>
      </c>
      <c r="AI123" s="4" t="n"/>
      <c r="AJ123" s="4" t="n">
        <v>13.779993</v>
      </c>
      <c r="AK123" s="4" t="n">
        <v>10.752063</v>
      </c>
      <c r="AL123" s="4" t="inlineStr">
        <is>
          <t>Equity Scheme - Large Cap Fund</t>
        </is>
      </c>
      <c r="AM123" s="4" t="n">
        <v>2.22</v>
      </c>
      <c r="AN123" s="4" t="n">
        <v>0</v>
      </c>
      <c r="AO123" s="4" t="n">
        <v>0.05</v>
      </c>
      <c r="AP123" s="4" t="n">
        <v>0.32</v>
      </c>
      <c r="AQ123" s="4" t="n">
        <v>2.59</v>
      </c>
      <c r="AR123" s="4" t="n">
        <v>1.96</v>
      </c>
      <c r="AS123" s="4" t="n">
        <v>0</v>
      </c>
      <c r="AT123" s="4" t="n">
        <v>0.05</v>
      </c>
      <c r="AU123" s="4" t="n">
        <v>0.32</v>
      </c>
      <c r="AV123" s="4" t="n">
        <v>2.33</v>
      </c>
      <c r="AW123" s="17" t="n">
        <v>0.1919754271453145</v>
      </c>
      <c r="AX123" t="inlineStr">
        <is>
          <t>0cr</t>
        </is>
      </c>
      <c r="AY123" s="26" t="n">
        <v>1.460370498789757</v>
      </c>
      <c r="AZ123" s="26" t="n">
        <v>1.334652495697384</v>
      </c>
      <c r="BA123" s="26" t="n">
        <v>0.4775206763094853</v>
      </c>
      <c r="BB123" s="28" t="n">
        <v>1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</row>
    <row r="124">
      <c r="A124" s="4" t="inlineStr">
        <is>
          <t>Union Largecap Fund</t>
        </is>
      </c>
      <c r="B124" s="4" t="inlineStr">
        <is>
          <t>large cap</t>
        </is>
      </c>
      <c r="C124" s="4" t="inlineStr">
        <is>
          <t>BSE 100 TRI</t>
        </is>
      </c>
      <c r="D124" s="4" t="inlineStr">
        <is>
          <t>Very High</t>
        </is>
      </c>
      <c r="E124" s="4" t="inlineStr">
        <is>
          <t>Very High</t>
        </is>
      </c>
      <c r="F124" s="12" t="n">
        <v>46023</v>
      </c>
      <c r="G124" s="4" t="n">
        <v>23.95</v>
      </c>
      <c r="H124" s="4" t="n">
        <v>25.55</v>
      </c>
      <c r="I124" s="4" t="n">
        <v>4.7131147</v>
      </c>
      <c r="J124" s="4" t="n">
        <v>-5.4359003</v>
      </c>
      <c r="K124" s="4" t="n">
        <v>10.149015</v>
      </c>
      <c r="L124" s="4" t="n">
        <v>13.687067</v>
      </c>
      <c r="M124" s="4" t="n">
        <v>-1.860467999999999</v>
      </c>
      <c r="N124" s="4" t="n">
        <v>15.547535</v>
      </c>
      <c r="O124" s="4" t="n">
        <v>13.701913</v>
      </c>
      <c r="P124" s="4" t="n">
        <v>-1.895719000000001</v>
      </c>
      <c r="Q124" s="4" t="n">
        <v>15.597632</v>
      </c>
      <c r="R124" s="4" t="n"/>
      <c r="S124" s="4" t="n"/>
      <c r="T124" s="4" t="n"/>
      <c r="U124" s="4" t="n">
        <v>11.455357</v>
      </c>
      <c r="V124" s="4" t="n">
        <v>471.59</v>
      </c>
      <c r="W124" s="4" t="n">
        <v>-2.561316432105224</v>
      </c>
      <c r="X124" s="4" t="n">
        <v>-3.064590006842588</v>
      </c>
      <c r="Y124" s="4" t="n"/>
      <c r="Z124" s="4" t="n"/>
      <c r="AA124" s="4" t="n">
        <v>-0.6902527420905201</v>
      </c>
      <c r="AB124" s="4" t="n">
        <v>-1.066133388886763</v>
      </c>
      <c r="AC124" s="4" t="n">
        <v>-0.7170280505097023</v>
      </c>
      <c r="AD124" s="4" t="n">
        <v>-1.051531303925022</v>
      </c>
      <c r="AE124" s="4" t="n">
        <v>3.6796536</v>
      </c>
      <c r="AF124" s="4" t="n"/>
      <c r="AG124" s="4" t="n">
        <v>12.711262</v>
      </c>
      <c r="AH124" s="4" t="n">
        <v>12.835157</v>
      </c>
      <c r="AI124" s="4" t="n">
        <v>14.093305</v>
      </c>
      <c r="AJ124" s="4" t="n">
        <v>14.093305</v>
      </c>
      <c r="AK124" s="4" t="n">
        <v>10.625137</v>
      </c>
      <c r="AL124" s="4" t="inlineStr">
        <is>
          <t>Equity Scheme - Large Cap Fund</t>
        </is>
      </c>
      <c r="AM124" s="4" t="n">
        <v>2.25</v>
      </c>
      <c r="AN124" s="4" t="n">
        <v>0</v>
      </c>
      <c r="AO124" s="4" t="n">
        <v>0.05</v>
      </c>
      <c r="AP124" s="4" t="n">
        <v>0.24</v>
      </c>
      <c r="AQ124" s="4" t="n">
        <v>2.54</v>
      </c>
      <c r="AR124" s="4" t="n">
        <v>1.44</v>
      </c>
      <c r="AS124" s="4" t="n">
        <v>0</v>
      </c>
      <c r="AT124" s="4" t="n">
        <v>0.05</v>
      </c>
      <c r="AU124" s="4" t="n">
        <v>0.24</v>
      </c>
      <c r="AV124" s="4" t="n">
        <v>1.73</v>
      </c>
      <c r="AW124" s="17" t="n">
        <v>1.45677389257618</v>
      </c>
      <c r="AX124" s="18" t="inlineStr">
        <is>
          <t>-7cr</t>
        </is>
      </c>
      <c r="AY124" s="26" t="n">
        <v>1.164423048022185</v>
      </c>
      <c r="AZ124" s="26" t="n">
        <v>1.334652495697384</v>
      </c>
      <c r="BA124" s="26" t="n">
        <v>0.5038149558849739</v>
      </c>
      <c r="BB124" s="28" t="n">
        <v>2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1</v>
      </c>
    </row>
    <row r="125">
      <c r="A125" s="4" t="inlineStr">
        <is>
          <t>WhiteOak Capital Large Cap Fund</t>
        </is>
      </c>
      <c r="B125" s="4" t="inlineStr">
        <is>
          <t>large cap</t>
        </is>
      </c>
      <c r="C125" s="4" t="inlineStr">
        <is>
          <t>BSE 100 TRI</t>
        </is>
      </c>
      <c r="D125" s="4" t="inlineStr">
        <is>
          <t>Very High</t>
        </is>
      </c>
      <c r="E125" s="4" t="inlineStr">
        <is>
          <t>Very High</t>
        </is>
      </c>
      <c r="F125" s="12" t="n">
        <v>46023</v>
      </c>
      <c r="G125" s="4" t="n">
        <v>15.405</v>
      </c>
      <c r="H125" s="4" t="n">
        <v>16.221</v>
      </c>
      <c r="I125" s="4" t="n">
        <v>9.291200999999999</v>
      </c>
      <c r="J125" s="4" t="n">
        <v>-0.8578140000000012</v>
      </c>
      <c r="K125" s="4" t="n">
        <v>10.149015</v>
      </c>
      <c r="L125" s="4" t="n">
        <v>19.111513</v>
      </c>
      <c r="M125" s="4" t="n">
        <v>3.563977999999999</v>
      </c>
      <c r="N125" s="4" t="n">
        <v>15.547535</v>
      </c>
      <c r="O125" s="4" t="n"/>
      <c r="P125" s="4" t="n"/>
      <c r="Q125" s="4" t="n"/>
      <c r="R125" s="4" t="n"/>
      <c r="S125" s="4" t="n"/>
      <c r="T125" s="4" t="n"/>
      <c r="U125" s="4" t="n">
        <v>16.960054</v>
      </c>
      <c r="V125" s="4" t="n">
        <v>1146.9</v>
      </c>
      <c r="W125" s="4" t="n">
        <v>-0.3235458764595143</v>
      </c>
      <c r="X125" s="4" t="n">
        <v>-0.9839548166462803</v>
      </c>
      <c r="Y125" s="4" t="n"/>
      <c r="Z125" s="4" t="n"/>
      <c r="AA125" s="4" t="n">
        <v>1.109311480633974</v>
      </c>
      <c r="AB125" s="4" t="n">
        <v>0.4979961709461544</v>
      </c>
      <c r="AC125" s="4" t="n"/>
      <c r="AD125" s="4" t="n"/>
      <c r="AE125" s="4" t="n">
        <v>7.524255</v>
      </c>
      <c r="AF125" s="4" t="n"/>
      <c r="AG125" s="4" t="n">
        <v>17.138086</v>
      </c>
      <c r="AH125" s="4" t="n"/>
      <c r="AI125" s="4" t="n">
        <v>13.7137</v>
      </c>
      <c r="AJ125" s="4" t="n">
        <v>13.7137</v>
      </c>
      <c r="AK125" s="4" t="n">
        <v>15.021161</v>
      </c>
      <c r="AL125" s="4" t="inlineStr">
        <is>
          <t>Equity Scheme - Large Cap Fund</t>
        </is>
      </c>
      <c r="AM125" s="4" t="n">
        <v>2.02</v>
      </c>
      <c r="AN125" s="4" t="n">
        <v>0</v>
      </c>
      <c r="AO125" s="4" t="n">
        <v>0.05</v>
      </c>
      <c r="AP125" s="4" t="n">
        <v>0.07000000000000001</v>
      </c>
      <c r="AQ125" s="4" t="n">
        <v>2.14</v>
      </c>
      <c r="AR125" s="4" t="n">
        <v>0.49</v>
      </c>
      <c r="AS125" s="4" t="n">
        <v>0</v>
      </c>
      <c r="AT125" s="4" t="n">
        <v>0.05</v>
      </c>
      <c r="AU125" s="4" t="n">
        <v>0.07000000000000001</v>
      </c>
      <c r="AV125" s="4" t="n">
        <v>0.61</v>
      </c>
      <c r="AW125" s="17" t="n">
        <v>-0.5057110471706496</v>
      </c>
      <c r="AX125" s="15" t="inlineStr">
        <is>
          <t>6cr</t>
        </is>
      </c>
      <c r="AY125" s="26" t="n">
        <v>1.340370398158955</v>
      </c>
      <c r="AZ125" s="26" t="n">
        <v>1.334652495697384</v>
      </c>
      <c r="BA125" s="26" t="n">
        <v>0.4505881392928655</v>
      </c>
      <c r="BB125" s="28" t="n">
        <v>2</v>
      </c>
      <c r="BC125" t="n">
        <v>1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</row>
    <row r="126">
      <c r="A126" s="15" t="inlineStr">
        <is>
          <t>category_avg_Largecap</t>
        </is>
      </c>
      <c r="B126" s="15" t="n"/>
      <c r="C126" s="15" t="n"/>
      <c r="D126" s="15" t="n"/>
      <c r="E126" s="15" t="n"/>
      <c r="F126" s="16" t="n"/>
      <c r="G126" s="15" t="n"/>
      <c r="H126" s="15" t="n"/>
      <c r="I126" s="27" t="n">
        <v>8.200486648148148</v>
      </c>
      <c r="K126" s="27" t="n">
        <v>10.001589</v>
      </c>
      <c r="L126" s="27" t="n">
        <v>16.49381356</v>
      </c>
      <c r="N126" s="27" t="n">
        <v>15.01828636</v>
      </c>
      <c r="O126" s="27" t="n">
        <v>15.55000782608696</v>
      </c>
      <c r="Q126" s="27" t="n">
        <v>15.10959069565217</v>
      </c>
      <c r="R126" s="27" t="n">
        <v>13.9547865</v>
      </c>
      <c r="T126" s="27" t="n">
        <v>14.14619005</v>
      </c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>
        <f>AVERAGE(AA99:AA125)</f>
        <v/>
      </c>
      <c r="AF126" s="15">
        <f>AVERAGE(AB99:AB125)</f>
        <v/>
      </c>
      <c r="AG126" s="15">
        <f>AVERAGE(AC99:AC125)</f>
        <v/>
      </c>
      <c r="AH126" s="15">
        <f>AVERAGE(AD99:AD125)</f>
        <v/>
      </c>
      <c r="AI126" s="15">
        <f>AVERAGE(AE99:AE125)</f>
        <v/>
      </c>
      <c r="AJ126" s="15" t="n"/>
      <c r="AK126" s="15" t="n"/>
      <c r="AL126" s="15" t="n"/>
      <c r="AM126" s="15" t="n"/>
      <c r="AN126" s="15" t="n"/>
      <c r="AO126" s="15" t="n"/>
      <c r="AP126" s="15" t="n"/>
      <c r="AQ126" s="15" t="n"/>
      <c r="AR126" s="15" t="n"/>
      <c r="AS126" s="15" t="n"/>
      <c r="AT126" s="15" t="n"/>
      <c r="AU126" s="15" t="n"/>
      <c r="AV126" s="25" t="n">
        <v>0.9074074074074074</v>
      </c>
      <c r="AZ126" s="26" t="n">
        <v>1.334652495697384</v>
      </c>
    </row>
    <row r="127">
      <c r="A127" s="5" t="inlineStr">
        <is>
          <t>Axis Midcap Fund</t>
        </is>
      </c>
      <c r="B127" s="5" t="inlineStr">
        <is>
          <t>mid cap</t>
        </is>
      </c>
      <c r="C127" s="5" t="inlineStr">
        <is>
          <t>BSE Midcap 150 TRI</t>
        </is>
      </c>
      <c r="D127" s="5" t="inlineStr">
        <is>
          <t>Very High</t>
        </is>
      </c>
      <c r="E127" s="5" t="inlineStr">
        <is>
          <t>Very High</t>
        </is>
      </c>
      <c r="F127" s="13" t="n">
        <v>46023</v>
      </c>
      <c r="G127" s="5" t="n">
        <v>113.35</v>
      </c>
      <c r="H127" s="5" t="n">
        <v>132.35</v>
      </c>
      <c r="I127" s="5" t="n">
        <v>2.129794</v>
      </c>
      <c r="J127" s="5" t="n"/>
      <c r="K127" s="5" t="n"/>
      <c r="L127" s="5" t="n">
        <v>20.673462</v>
      </c>
      <c r="M127" s="5" t="n"/>
      <c r="N127" s="5" t="n"/>
      <c r="O127" s="5" t="n">
        <v>18.972025</v>
      </c>
      <c r="P127" s="5" t="n"/>
      <c r="Q127" s="5" t="n"/>
      <c r="R127" s="5" t="n">
        <v>17.634212</v>
      </c>
      <c r="S127" s="5" t="n"/>
      <c r="T127" s="5" t="n"/>
      <c r="U127" s="5" t="n">
        <v>19.005594</v>
      </c>
      <c r="V127" s="5" t="n">
        <v>31711.29</v>
      </c>
      <c r="W127" s="5" t="n">
        <v>-0.3420148272242923</v>
      </c>
      <c r="X127" s="5" t="n">
        <v>-0.5586620673190392</v>
      </c>
      <c r="Y127" s="5" t="n">
        <v>-0.1009449110870272</v>
      </c>
      <c r="Z127" s="5" t="n">
        <v>-0.2981353814578795</v>
      </c>
      <c r="AA127" s="5" t="n">
        <v>-0.5022699006606118</v>
      </c>
      <c r="AB127" s="5" t="n">
        <v>-0.7134870830864295</v>
      </c>
      <c r="AC127" s="5" t="n">
        <v>-0.7427138467778671</v>
      </c>
      <c r="AD127" s="5" t="n">
        <v>-0.9563052704621035</v>
      </c>
      <c r="AE127" s="5" t="n">
        <v>1.1060566</v>
      </c>
      <c r="AF127" s="5" t="n">
        <v>16.252882</v>
      </c>
      <c r="AG127" s="5" t="n">
        <v>19.413706</v>
      </c>
      <c r="AH127" s="5" t="n">
        <v>17.615091</v>
      </c>
      <c r="AI127" s="5" t="n"/>
      <c r="AJ127" s="5" t="n"/>
      <c r="AK127" s="5" t="n">
        <v>17.723799</v>
      </c>
      <c r="AL127" s="5" t="inlineStr">
        <is>
          <t>Equity Scheme - Mid Cap Fund</t>
        </is>
      </c>
      <c r="AM127" s="5" t="n">
        <v>1.45</v>
      </c>
      <c r="AN127" s="5" t="n">
        <v>0</v>
      </c>
      <c r="AO127" s="5" t="n">
        <v>0.05</v>
      </c>
      <c r="AP127" s="5" t="n">
        <v>0.08</v>
      </c>
      <c r="AQ127" s="5" t="n">
        <v>1.58</v>
      </c>
      <c r="AR127" s="5" t="n">
        <v>0.44</v>
      </c>
      <c r="AS127" s="5" t="n">
        <v>0</v>
      </c>
      <c r="AT127" s="5" t="n">
        <v>0.05</v>
      </c>
      <c r="AU127" s="5" t="n">
        <v>0.08</v>
      </c>
      <c r="AV127" s="5" t="n">
        <v>0.57</v>
      </c>
      <c r="AW127" s="17" t="n">
        <v>1.548312919468107</v>
      </c>
      <c r="AX127" s="18" t="inlineStr">
        <is>
          <t>-491cr</t>
        </is>
      </c>
      <c r="AY127" s="26" t="n">
        <v>1.037748200734302</v>
      </c>
      <c r="AZ127" s="26" t="n">
        <v>1.439123152845944</v>
      </c>
      <c r="BA127" s="26" t="n">
        <v>0.6295284046162329</v>
      </c>
      <c r="BB127" s="28" t="n">
        <v>3</v>
      </c>
      <c r="BC127" t="n">
        <v>0</v>
      </c>
      <c r="BD127" t="n">
        <v>1</v>
      </c>
      <c r="BE127" t="n">
        <v>1</v>
      </c>
      <c r="BF127" t="n">
        <v>0</v>
      </c>
      <c r="BG127" t="n">
        <v>0</v>
      </c>
      <c r="BH127" t="n">
        <v>1</v>
      </c>
    </row>
    <row r="128">
      <c r="A128" s="5" t="inlineStr">
        <is>
          <t>Bank of India Mid Cap Fund</t>
        </is>
      </c>
      <c r="B128" s="5" t="inlineStr">
        <is>
          <t>mid cap</t>
        </is>
      </c>
      <c r="C128" s="5" t="inlineStr">
        <is>
          <t>Nifty Midcap 150 TRI</t>
        </is>
      </c>
      <c r="D128" s="5" t="inlineStr">
        <is>
          <t>Very High</t>
        </is>
      </c>
      <c r="E128" s="5" t="inlineStr">
        <is>
          <t>Very High</t>
        </is>
      </c>
      <c r="F128" s="13" t="n">
        <v>46023</v>
      </c>
      <c r="G128" s="5" t="n">
        <v>9.800000000000001</v>
      </c>
      <c r="H128" s="5" t="n">
        <v>9.84</v>
      </c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>
        <v>684</v>
      </c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inlineStr">
        <is>
          <t>Equity Scheme - Mid Cap Fund</t>
        </is>
      </c>
      <c r="AM128" s="5" t="n">
        <v>2.18</v>
      </c>
      <c r="AN128" s="5" t="n">
        <v>0</v>
      </c>
      <c r="AO128" s="5" t="n">
        <v>0.05</v>
      </c>
      <c r="AP128" s="5" t="n">
        <v>0.17</v>
      </c>
      <c r="AQ128" s="5" t="n">
        <v>2.4</v>
      </c>
      <c r="AR128" s="5" t="n">
        <v>1.07</v>
      </c>
      <c r="AS128" s="5" t="n">
        <v>0</v>
      </c>
      <c r="AT128" s="5" t="n">
        <v>0.05</v>
      </c>
      <c r="AU128" s="5" t="n">
        <v>0.17</v>
      </c>
      <c r="AV128" s="5" t="n">
        <v>1.29</v>
      </c>
      <c r="AW128" s="17" t="n">
        <v>1.175438596491223</v>
      </c>
      <c r="AX128" s="18" t="inlineStr">
        <is>
          <t>-8cr</t>
        </is>
      </c>
      <c r="AY128" s="26" t="n">
        <v>1.784961901822039</v>
      </c>
      <c r="AZ128" s="26" t="n">
        <v>1.439123152845944</v>
      </c>
      <c r="BA128" s="26" t="n">
        <v>0.6701284806996979</v>
      </c>
      <c r="BB128" s="28" t="n">
        <v>1</v>
      </c>
      <c r="BC128" t="n">
        <v>0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</row>
    <row r="129">
      <c r="A129" s="5" t="inlineStr">
        <is>
          <t>Baroda BNP Paribas Mid Cap Fund</t>
        </is>
      </c>
      <c r="B129" s="5" t="inlineStr">
        <is>
          <t>mid cap</t>
        </is>
      </c>
      <c r="C129" s="5" t="inlineStr">
        <is>
          <t>Nifty Midcap 150 TRI</t>
        </is>
      </c>
      <c r="D129" s="5" t="inlineStr">
        <is>
          <t>Very High</t>
        </is>
      </c>
      <c r="E129" s="5" t="inlineStr">
        <is>
          <t>Very High</t>
        </is>
      </c>
      <c r="F129" s="13" t="n">
        <v>46023</v>
      </c>
      <c r="G129" s="5" t="n">
        <v>105.0198</v>
      </c>
      <c r="H129" s="5" t="n">
        <v>125.8226</v>
      </c>
      <c r="I129" s="5" t="n">
        <v>3.9047287</v>
      </c>
      <c r="J129" s="5" t="n">
        <v>-1.9901743</v>
      </c>
      <c r="K129" s="5" t="n">
        <v>5.894903</v>
      </c>
      <c r="L129" s="5" t="n">
        <v>22.19922</v>
      </c>
      <c r="M129" s="5" t="n">
        <v>-1.918188999999998</v>
      </c>
      <c r="N129" s="5" t="n">
        <v>24.117409</v>
      </c>
      <c r="O129" s="5" t="n">
        <v>22.592358</v>
      </c>
      <c r="P129" s="5" t="n">
        <v>-1.255973000000001</v>
      </c>
      <c r="Q129" s="5" t="n">
        <v>23.848331</v>
      </c>
      <c r="R129" s="5" t="n">
        <v>16.727194</v>
      </c>
      <c r="S129" s="5" t="n">
        <v>-1.509108999999999</v>
      </c>
      <c r="T129" s="5" t="n">
        <v>18.236303</v>
      </c>
      <c r="U129" s="5" t="n">
        <v>19.45325</v>
      </c>
      <c r="V129" s="5" t="n">
        <v>2317.18</v>
      </c>
      <c r="W129" s="5" t="n">
        <v>-0.4772754321154926</v>
      </c>
      <c r="X129" s="5" t="n">
        <v>-0.77500002022287</v>
      </c>
      <c r="Y129" s="5" t="n">
        <v>-0.3162037365028895</v>
      </c>
      <c r="Z129" s="5" t="n">
        <v>-0.6131451910403172</v>
      </c>
      <c r="AA129" s="5" t="n">
        <v>-0.41282848550276</v>
      </c>
      <c r="AB129" s="5" t="n">
        <v>-0.7432320131248068</v>
      </c>
      <c r="AC129" s="5" t="n">
        <v>-0.2793756064738988</v>
      </c>
      <c r="AD129" s="5" t="n">
        <v>-0.6050774193856764</v>
      </c>
      <c r="AE129" s="5" t="n">
        <v>2.4262645</v>
      </c>
      <c r="AF129" s="5" t="n">
        <v>14.987814</v>
      </c>
      <c r="AG129" s="5" t="n">
        <v>20.433247</v>
      </c>
      <c r="AH129" s="5" t="n">
        <v>20.775658</v>
      </c>
      <c r="AI129" s="5" t="n">
        <v>14.7799015</v>
      </c>
      <c r="AJ129" s="5" t="n">
        <v>18.761415</v>
      </c>
      <c r="AK129" s="5" t="n">
        <v>12.6907015</v>
      </c>
      <c r="AL129" s="5" t="inlineStr">
        <is>
          <t>Equity Scheme - Mid Cap Fund</t>
        </is>
      </c>
      <c r="AM129" s="5" t="n">
        <v>1.86</v>
      </c>
      <c r="AN129" s="5" t="n">
        <v>0</v>
      </c>
      <c r="AO129" s="5" t="n">
        <v>0.05</v>
      </c>
      <c r="AP129" s="5" t="n">
        <v>0.07000000000000001</v>
      </c>
      <c r="AQ129" s="5" t="n">
        <v>1.98</v>
      </c>
      <c r="AR129" s="5" t="n">
        <v>0.42</v>
      </c>
      <c r="AS129" s="5" t="n">
        <v>0</v>
      </c>
      <c r="AT129" s="5" t="n">
        <v>0.05</v>
      </c>
      <c r="AU129" s="5" t="n">
        <v>0.07000000000000001</v>
      </c>
      <c r="AV129" s="5" t="n">
        <v>0.54</v>
      </c>
      <c r="AW129" s="17" t="n">
        <v>0.3275533191206616</v>
      </c>
      <c r="AX129" s="18" t="inlineStr">
        <is>
          <t>-8cr</t>
        </is>
      </c>
      <c r="AY129" s="26" t="n">
        <v>1.496404236134082</v>
      </c>
      <c r="AZ129" s="26" t="n">
        <v>1.439123152845944</v>
      </c>
      <c r="BA129" s="26" t="n">
        <v>0.5750771390651269</v>
      </c>
      <c r="BB129" s="28" t="n">
        <v>3</v>
      </c>
      <c r="BC129" t="n">
        <v>1</v>
      </c>
      <c r="BD129" t="n">
        <v>1</v>
      </c>
      <c r="BE129" t="n">
        <v>1</v>
      </c>
      <c r="BF129" t="n">
        <v>0</v>
      </c>
      <c r="BG129" t="n">
        <v>0</v>
      </c>
      <c r="BH129" t="n">
        <v>0</v>
      </c>
    </row>
    <row r="130">
      <c r="A130" s="5" t="inlineStr">
        <is>
          <t>Canara Robeco Mid Cap Fund</t>
        </is>
      </c>
      <c r="B130" s="5" t="inlineStr">
        <is>
          <t>mid cap</t>
        </is>
      </c>
      <c r="C130" s="5" t="inlineStr">
        <is>
          <t>BSE Midcap 150 TRI</t>
        </is>
      </c>
      <c r="D130" s="5" t="inlineStr">
        <is>
          <t>Very High</t>
        </is>
      </c>
      <c r="E130" s="5" t="inlineStr">
        <is>
          <t>Very High</t>
        </is>
      </c>
      <c r="F130" s="13" t="n">
        <v>46023</v>
      </c>
      <c r="G130" s="5" t="n">
        <v>17.36</v>
      </c>
      <c r="H130" s="5" t="n">
        <v>18.12</v>
      </c>
      <c r="I130" s="5" t="n">
        <v>5.8411217</v>
      </c>
      <c r="J130" s="5" t="n"/>
      <c r="K130" s="5" t="n"/>
      <c r="L130" s="5" t="n">
        <v>22.214523</v>
      </c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>
        <v>21.250519</v>
      </c>
      <c r="V130" s="5" t="n">
        <v>4083.12</v>
      </c>
      <c r="W130" s="5" t="n">
        <v>0.4903997666952878</v>
      </c>
      <c r="X130" s="5" t="n">
        <v>0.1832793224876021</v>
      </c>
      <c r="Y130" s="5" t="n"/>
      <c r="Z130" s="5" t="n"/>
      <c r="AA130" s="5" t="n">
        <v>-0.2473256827324373</v>
      </c>
      <c r="AB130" s="5" t="n">
        <v>-0.5591845243322899</v>
      </c>
      <c r="AC130" s="5" t="n"/>
      <c r="AD130" s="5" t="n"/>
      <c r="AE130" s="5" t="n">
        <v>4.5153522</v>
      </c>
      <c r="AF130" s="5" t="n"/>
      <c r="AG130" s="5" t="n">
        <v>20.526543</v>
      </c>
      <c r="AH130" s="5" t="n"/>
      <c r="AI130" s="5" t="n"/>
      <c r="AJ130" s="5" t="n"/>
      <c r="AK130" s="5" t="n">
        <v>19.578074</v>
      </c>
      <c r="AL130" s="5" t="inlineStr">
        <is>
          <t>Equity Scheme - Mid Cap Fund</t>
        </is>
      </c>
      <c r="AM130" s="5" t="n">
        <v>1.75</v>
      </c>
      <c r="AN130" s="5" t="n">
        <v>0</v>
      </c>
      <c r="AO130" s="5" t="n">
        <v>0.05</v>
      </c>
      <c r="AP130" s="5" t="n">
        <v>0.08</v>
      </c>
      <c r="AQ130" s="5" t="n">
        <v>1.88</v>
      </c>
      <c r="AR130" s="5" t="n">
        <v>0.48</v>
      </c>
      <c r="AS130" s="5" t="n">
        <v>0</v>
      </c>
      <c r="AT130" s="5" t="n">
        <v>0.05</v>
      </c>
      <c r="AU130" s="5" t="n">
        <v>0.08</v>
      </c>
      <c r="AV130" s="5" t="n">
        <v>0.61</v>
      </c>
      <c r="AW130" s="17" t="n">
        <v>-1.965653715785962</v>
      </c>
      <c r="AX130" t="inlineStr">
        <is>
          <t>80cr</t>
        </is>
      </c>
      <c r="AY130" s="26" t="n">
        <v>1.123964067927649</v>
      </c>
      <c r="AZ130" s="26" t="n">
        <v>1.439123152845944</v>
      </c>
      <c r="BA130" s="26" t="n">
        <v>0.6452149208090491</v>
      </c>
      <c r="BB130" s="28" t="n">
        <v>3</v>
      </c>
      <c r="BC130" t="n">
        <v>1</v>
      </c>
      <c r="BD130" t="n">
        <v>0</v>
      </c>
      <c r="BE130" t="n">
        <v>1</v>
      </c>
      <c r="BF130" t="n">
        <v>0</v>
      </c>
      <c r="BG130" t="n">
        <v>0</v>
      </c>
      <c r="BH130" t="n">
        <v>1</v>
      </c>
    </row>
    <row r="131">
      <c r="A131" s="5" t="inlineStr">
        <is>
          <t>Edelweiss Mid Cap Fund</t>
        </is>
      </c>
      <c r="B131" s="5" t="inlineStr">
        <is>
          <t>mid cap</t>
        </is>
      </c>
      <c r="C131" s="5" t="inlineStr">
        <is>
          <t>Nifty Midcap 150 TRI</t>
        </is>
      </c>
      <c r="D131" s="5" t="inlineStr">
        <is>
          <t>Very High</t>
        </is>
      </c>
      <c r="E131" s="5" t="inlineStr">
        <is>
          <t>Very High</t>
        </is>
      </c>
      <c r="F131" s="13" t="n">
        <v>46023</v>
      </c>
      <c r="G131" s="5" t="n">
        <v>104.776</v>
      </c>
      <c r="H131" s="5" t="n">
        <v>123.043</v>
      </c>
      <c r="I131" s="5" t="n">
        <v>5.0939965</v>
      </c>
      <c r="J131" s="5" t="n">
        <v>-0.8009065</v>
      </c>
      <c r="K131" s="5" t="n">
        <v>5.894903</v>
      </c>
      <c r="L131" s="5" t="n">
        <v>27.639818</v>
      </c>
      <c r="M131" s="5" t="n">
        <v>3.522409000000003</v>
      </c>
      <c r="N131" s="5" t="n">
        <v>24.117409</v>
      </c>
      <c r="O131" s="5" t="n">
        <v>26.64227</v>
      </c>
      <c r="P131" s="5" t="n">
        <v>2.793938999999998</v>
      </c>
      <c r="Q131" s="5" t="n">
        <v>23.848331</v>
      </c>
      <c r="R131" s="5" t="n">
        <v>19.72987</v>
      </c>
      <c r="S131" s="5" t="n">
        <v>1.493566999999999</v>
      </c>
      <c r="T131" s="5" t="n">
        <v>18.236303</v>
      </c>
      <c r="U131" s="5" t="n">
        <v>22.079597</v>
      </c>
      <c r="V131" s="5" t="n">
        <v>13689.42</v>
      </c>
      <c r="W131" s="5" t="n">
        <v>-0.2641477526427968</v>
      </c>
      <c r="X131" s="5" t="n">
        <v>-0.6588316301733739</v>
      </c>
      <c r="Y131" s="5" t="n">
        <v>0.2701481007984436</v>
      </c>
      <c r="Z131" s="5" t="n">
        <v>-0.02259355231757251</v>
      </c>
      <c r="AA131" s="5" t="n">
        <v>0.699647148886509</v>
      </c>
      <c r="AB131" s="5" t="n">
        <v>0.3512146994216294</v>
      </c>
      <c r="AC131" s="5" t="n">
        <v>0.5467664944368134</v>
      </c>
      <c r="AD131" s="5" t="n">
        <v>0.190855857801396</v>
      </c>
      <c r="AE131" s="5" t="n">
        <v>3.7355325</v>
      </c>
      <c r="AF131" s="5" t="n">
        <v>18.214897</v>
      </c>
      <c r="AG131" s="5" t="n">
        <v>25.900612</v>
      </c>
      <c r="AH131" s="5" t="n">
        <v>24.84837</v>
      </c>
      <c r="AI131" s="5" t="n">
        <v>12.991984</v>
      </c>
      <c r="AJ131" s="5" t="n">
        <v>18.801012</v>
      </c>
      <c r="AK131" s="5" t="n">
        <v>13.916457</v>
      </c>
      <c r="AL131" s="5" t="inlineStr">
        <is>
          <t>Equity Scheme - Mid Cap Fund</t>
        </is>
      </c>
      <c r="AM131" s="5" t="n">
        <v>1.57</v>
      </c>
      <c r="AN131" s="5" t="n">
        <v>0</v>
      </c>
      <c r="AO131" s="5" t="n">
        <v>0.05</v>
      </c>
      <c r="AP131" s="5" t="n">
        <v>0.05</v>
      </c>
      <c r="AQ131" s="5" t="n">
        <v>1.67</v>
      </c>
      <c r="AR131" s="5" t="n">
        <v>0.32</v>
      </c>
      <c r="AS131" s="5" t="n">
        <v>0</v>
      </c>
      <c r="AT131" s="5" t="n">
        <v>0.05</v>
      </c>
      <c r="AU131" s="5" t="n">
        <v>0.05</v>
      </c>
      <c r="AV131" s="5" t="n">
        <v>0.42</v>
      </c>
      <c r="AW131" s="17" t="n">
        <v>-3.364057790614945</v>
      </c>
      <c r="AX131" t="inlineStr">
        <is>
          <t>461cr</t>
        </is>
      </c>
      <c r="AY131" s="26" t="n">
        <v>1.395594099538108</v>
      </c>
      <c r="AZ131" s="26" t="n">
        <v>1.439123152845944</v>
      </c>
      <c r="BA131" s="26" t="n">
        <v>0.630926476952922</v>
      </c>
      <c r="BB131" s="28" t="n">
        <v>3</v>
      </c>
      <c r="BC131" t="n">
        <v>1</v>
      </c>
      <c r="BD131" t="n">
        <v>0</v>
      </c>
      <c r="BE131" t="n">
        <v>1</v>
      </c>
      <c r="BF131" t="n">
        <v>0</v>
      </c>
      <c r="BG131" t="n">
        <v>0</v>
      </c>
      <c r="BH131" t="n">
        <v>1</v>
      </c>
    </row>
    <row r="132">
      <c r="A132" s="5" t="inlineStr">
        <is>
          <t>Franklin India Mid Cap Fund</t>
        </is>
      </c>
      <c r="B132" s="5" t="inlineStr">
        <is>
          <t>mid cap</t>
        </is>
      </c>
      <c r="C132" s="5" t="inlineStr">
        <is>
          <t>Nifty Midcap 150 TRI</t>
        </is>
      </c>
      <c r="D132" s="5" t="inlineStr">
        <is>
          <t>Very High</t>
        </is>
      </c>
      <c r="E132" s="5" t="inlineStr">
        <is>
          <t>Very High</t>
        </is>
      </c>
      <c r="F132" s="13" t="n">
        <v>46023</v>
      </c>
      <c r="G132" s="5" t="n">
        <v>2811.6225</v>
      </c>
      <c r="H132" s="5" t="n">
        <v>3172.2949</v>
      </c>
      <c r="I132" s="5" t="n">
        <v>2.3047023</v>
      </c>
      <c r="J132" s="5" t="n">
        <v>-3.5902007</v>
      </c>
      <c r="K132" s="5" t="n">
        <v>5.894903</v>
      </c>
      <c r="L132" s="5" t="n">
        <v>23.377726</v>
      </c>
      <c r="M132" s="5" t="n">
        <v>-0.7396829999999994</v>
      </c>
      <c r="N132" s="5" t="n">
        <v>24.117409</v>
      </c>
      <c r="O132" s="5" t="n">
        <v>20.74406</v>
      </c>
      <c r="P132" s="5" t="n">
        <v>-3.104271000000001</v>
      </c>
      <c r="Q132" s="5" t="n">
        <v>23.848331</v>
      </c>
      <c r="R132" s="5" t="n">
        <v>16.247784</v>
      </c>
      <c r="S132" s="5" t="n">
        <v>-1.988519</v>
      </c>
      <c r="T132" s="5" t="n">
        <v>18.236303</v>
      </c>
      <c r="U132" s="5" t="n">
        <v>18.915108</v>
      </c>
      <c r="V132" s="5" t="n">
        <v>12850.34</v>
      </c>
      <c r="W132" s="5" t="n">
        <v>-0.9396501246921017</v>
      </c>
      <c r="X132" s="5" t="n">
        <v>-1.137148364752291</v>
      </c>
      <c r="Y132" s="5" t="n">
        <v>-0.4283882479471932</v>
      </c>
      <c r="Z132" s="5" t="n">
        <v>-0.6169050623729385</v>
      </c>
      <c r="AA132" s="5" t="n">
        <v>-0.218653576020032</v>
      </c>
      <c r="AB132" s="5" t="n">
        <v>-0.4364942835276332</v>
      </c>
      <c r="AC132" s="5" t="n">
        <v>-0.6486063879640923</v>
      </c>
      <c r="AD132" s="5" t="n">
        <v>-0.8403687966218688</v>
      </c>
      <c r="AE132" s="5" t="n">
        <v>1.495007</v>
      </c>
      <c r="AF132" s="5" t="n">
        <v>15.2217655</v>
      </c>
      <c r="AG132" s="5" t="n">
        <v>22.362717</v>
      </c>
      <c r="AH132" s="5" t="n">
        <v>19.763157</v>
      </c>
      <c r="AI132" s="5" t="n"/>
      <c r="AJ132" s="5" t="n">
        <v>18.801012</v>
      </c>
      <c r="AK132" s="5" t="n">
        <v>19.199717</v>
      </c>
      <c r="AL132" s="5" t="inlineStr">
        <is>
          <t>Equity Scheme - Mid Cap Fund</t>
        </is>
      </c>
      <c r="AM132" s="5" t="n">
        <v>1.58</v>
      </c>
      <c r="AN132" s="5" t="n">
        <v>0</v>
      </c>
      <c r="AO132" s="5" t="n">
        <v>0.05</v>
      </c>
      <c r="AP132" s="5" t="n">
        <v>0.14</v>
      </c>
      <c r="AQ132" s="5" t="n">
        <v>1.77</v>
      </c>
      <c r="AR132" s="5" t="n">
        <v>0.83</v>
      </c>
      <c r="AS132" s="5" t="n">
        <v>0</v>
      </c>
      <c r="AT132" s="5" t="n">
        <v>0.05</v>
      </c>
      <c r="AU132" s="5" t="n">
        <v>0.14</v>
      </c>
      <c r="AV132" s="5" t="n">
        <v>1.02</v>
      </c>
      <c r="AW132" s="17" t="n">
        <v>0.4106506131355313</v>
      </c>
      <c r="AX132" s="18" t="inlineStr">
        <is>
          <t>-53cr</t>
        </is>
      </c>
      <c r="AY132" s="26" t="n">
        <v>1.429916068035872</v>
      </c>
      <c r="AZ132" s="26" t="n">
        <v>1.439123152845944</v>
      </c>
      <c r="BA132" s="26" t="n">
        <v>0.5713307235917222</v>
      </c>
      <c r="BB132" s="28" t="n">
        <v>2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1</v>
      </c>
    </row>
    <row r="133">
      <c r="A133" s="5" t="inlineStr">
        <is>
          <t>HDFC Mid Cap Fund</t>
        </is>
      </c>
      <c r="B133" s="5" t="inlineStr">
        <is>
          <t>mid cap</t>
        </is>
      </c>
      <c r="C133" s="5" t="inlineStr">
        <is>
          <t>Nifty Midcap 150 TRI</t>
        </is>
      </c>
      <c r="D133" s="5" t="inlineStr">
        <is>
          <t>Very High</t>
        </is>
      </c>
      <c r="E133" s="5" t="inlineStr">
        <is>
          <t>Very High</t>
        </is>
      </c>
      <c r="F133" s="13" t="n">
        <v>46023</v>
      </c>
      <c r="G133" s="5" t="n">
        <v>203.735</v>
      </c>
      <c r="H133" s="5" t="n">
        <v>225.02</v>
      </c>
      <c r="I133" s="5" t="n">
        <v>7.614611</v>
      </c>
      <c r="J133" s="5" t="n">
        <v>1.719708</v>
      </c>
      <c r="K133" s="5" t="n">
        <v>5.894903</v>
      </c>
      <c r="L133" s="5" t="n">
        <v>26.470333</v>
      </c>
      <c r="M133" s="5" t="n">
        <v>2.352924000000002</v>
      </c>
      <c r="N133" s="5" t="n">
        <v>24.117409</v>
      </c>
      <c r="O133" s="5" t="n">
        <v>26.122288</v>
      </c>
      <c r="P133" s="5" t="n">
        <v>2.273956999999999</v>
      </c>
      <c r="Q133" s="5" t="n">
        <v>23.848331</v>
      </c>
      <c r="R133" s="5" t="n">
        <v>19.057283</v>
      </c>
      <c r="S133" s="5" t="n">
        <v>0.8209800000000023</v>
      </c>
      <c r="T133" s="5" t="n">
        <v>18.236303</v>
      </c>
      <c r="U133" s="5" t="n">
        <v>21.025621</v>
      </c>
      <c r="V133" s="5" t="n">
        <v>92774.00999999999</v>
      </c>
      <c r="W133" s="5" t="n">
        <v>0.2450932076273279</v>
      </c>
      <c r="X133" s="5" t="n">
        <v>0.1130054143498299</v>
      </c>
      <c r="Y133" s="5" t="n">
        <v>0.09704535330090705</v>
      </c>
      <c r="Z133" s="5" t="n">
        <v>-0.08024882339485326</v>
      </c>
      <c r="AA133" s="5" t="n">
        <v>0.3886247083995077</v>
      </c>
      <c r="AB133" s="5" t="n">
        <v>0.2323467931016064</v>
      </c>
      <c r="AC133" s="5" t="n">
        <v>0.3571649190139946</v>
      </c>
      <c r="AD133" s="5" t="n">
        <v>0.2047996036539498</v>
      </c>
      <c r="AE133" s="5" t="n">
        <v>6.9458222</v>
      </c>
      <c r="AF133" s="5" t="n">
        <v>18.132017</v>
      </c>
      <c r="AG133" s="5" t="n">
        <v>25.647257</v>
      </c>
      <c r="AH133" s="5" t="n">
        <v>25.275606</v>
      </c>
      <c r="AI133" s="5" t="n">
        <v>15.322858</v>
      </c>
      <c r="AJ133" s="5" t="n">
        <v>18.801012</v>
      </c>
      <c r="AK133" s="5" t="n">
        <v>17.660192</v>
      </c>
      <c r="AL133" s="5" t="inlineStr">
        <is>
          <t>Equity Scheme - Mid Cap Fund</t>
        </is>
      </c>
      <c r="AM133" s="5" t="n">
        <v>1.21</v>
      </c>
      <c r="AN133" s="5" t="n">
        <v>0</v>
      </c>
      <c r="AO133" s="5" t="n">
        <v>0.05</v>
      </c>
      <c r="AP133" s="5" t="n">
        <v>0.1</v>
      </c>
      <c r="AQ133" s="5" t="n">
        <v>1.36</v>
      </c>
      <c r="AR133" s="5" t="n">
        <v>0.59</v>
      </c>
      <c r="AS133" s="5" t="n">
        <v>0</v>
      </c>
      <c r="AT133" s="5" t="n">
        <v>0.05</v>
      </c>
      <c r="AU133" s="5" t="n">
        <v>0.1</v>
      </c>
      <c r="AV133" s="5" t="n">
        <v>0.74</v>
      </c>
      <c r="AW133" s="17" t="n">
        <v>-0.7499298564328423</v>
      </c>
      <c r="AX133" t="inlineStr">
        <is>
          <t>696cr</t>
        </is>
      </c>
      <c r="AY133" s="26" t="n">
        <v>1.713791465361418</v>
      </c>
      <c r="AZ133" s="26" t="n">
        <v>1.439123152845944</v>
      </c>
      <c r="BA133" s="26" t="n">
        <v>0.5363131083137649</v>
      </c>
      <c r="BB133" s="28" t="n">
        <v>2</v>
      </c>
      <c r="BC133" t="n">
        <v>1</v>
      </c>
      <c r="BD133" t="n">
        <v>0</v>
      </c>
      <c r="BE133" t="n">
        <v>0</v>
      </c>
      <c r="BF133" t="n">
        <v>1</v>
      </c>
      <c r="BG133" t="n">
        <v>0</v>
      </c>
      <c r="BH133" t="n">
        <v>0</v>
      </c>
    </row>
    <row r="134">
      <c r="A134" s="5" t="inlineStr">
        <is>
          <t>Helios Mid Cap Fund</t>
        </is>
      </c>
      <c r="B134" s="5" t="inlineStr">
        <is>
          <t>mid cap</t>
        </is>
      </c>
      <c r="C134" s="5" t="inlineStr">
        <is>
          <t>Nifty Midcap 150 TRI</t>
        </is>
      </c>
      <c r="D134" s="5" t="inlineStr">
        <is>
          <t>Very High</t>
        </is>
      </c>
      <c r="E134" s="5" t="inlineStr">
        <is>
          <t>Very High</t>
        </is>
      </c>
      <c r="F134" s="13" t="n">
        <v>46023</v>
      </c>
      <c r="G134" s="5" t="n">
        <v>12.72</v>
      </c>
      <c r="H134" s="5" t="n">
        <v>12.88</v>
      </c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>
        <v>1159.68</v>
      </c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inlineStr">
        <is>
          <t>Equity Scheme - Mid Cap Fund</t>
        </is>
      </c>
      <c r="AM134" s="5" t="n">
        <v>2.01</v>
      </c>
      <c r="AN134" s="5" t="n">
        <v>0</v>
      </c>
      <c r="AO134" s="5" t="n">
        <v>0.05</v>
      </c>
      <c r="AP134" s="5" t="n">
        <v>0.08</v>
      </c>
      <c r="AQ134" s="5" t="n">
        <v>2.14</v>
      </c>
      <c r="AR134" s="5" t="n">
        <v>0.43</v>
      </c>
      <c r="AS134" s="5" t="n">
        <v>0</v>
      </c>
      <c r="AT134" s="5" t="n">
        <v>0.05</v>
      </c>
      <c r="AU134" s="5" t="n">
        <v>0.08</v>
      </c>
      <c r="AV134" s="5" t="n">
        <v>0.5600000000000001</v>
      </c>
      <c r="AW134" s="17" t="n">
        <v>-46.82929773730685</v>
      </c>
      <c r="AX134" t="inlineStr">
        <is>
          <t>543cr</t>
        </is>
      </c>
      <c r="AY134" s="26" t="n">
        <v>1.480582273753398</v>
      </c>
      <c r="AZ134" s="26" t="n">
        <v>1.439123152845944</v>
      </c>
      <c r="BA134" s="26" t="n">
        <v>0.6507469886040173</v>
      </c>
      <c r="BB134" s="28" t="n">
        <v>1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</row>
    <row r="135">
      <c r="A135" s="5" t="inlineStr">
        <is>
          <t>ICICI Prudential Midcap Fund</t>
        </is>
      </c>
      <c r="B135" s="5" t="inlineStr">
        <is>
          <t>mid cap</t>
        </is>
      </c>
      <c r="C135" s="5" t="inlineStr">
        <is>
          <t>Nifty Midcap 150 TRI</t>
        </is>
      </c>
      <c r="D135" s="5" t="inlineStr">
        <is>
          <t>Very High</t>
        </is>
      </c>
      <c r="E135" s="5" t="inlineStr">
        <is>
          <t>Very High</t>
        </is>
      </c>
      <c r="F135" s="13" t="n">
        <v>46023</v>
      </c>
      <c r="G135" s="5" t="n">
        <v>316.55</v>
      </c>
      <c r="H135" s="5" t="n">
        <v>356</v>
      </c>
      <c r="I135" s="5" t="n">
        <v>11.9849</v>
      </c>
      <c r="J135" s="5" t="n">
        <v>6.089996999999999</v>
      </c>
      <c r="K135" s="5" t="n">
        <v>5.894903</v>
      </c>
      <c r="L135" s="5" t="n">
        <v>24.384449</v>
      </c>
      <c r="M135" s="5" t="n">
        <v>0.2670400000000015</v>
      </c>
      <c r="N135" s="5" t="n">
        <v>24.117409</v>
      </c>
      <c r="O135" s="5" t="n">
        <v>23.626148</v>
      </c>
      <c r="P135" s="5" t="n">
        <v>-0.2221830000000011</v>
      </c>
      <c r="Q135" s="5" t="n">
        <v>23.848331</v>
      </c>
      <c r="R135" s="5" t="n">
        <v>17.085022</v>
      </c>
      <c r="S135" s="5" t="n">
        <v>-1.151281000000001</v>
      </c>
      <c r="T135" s="5" t="n">
        <v>18.236303</v>
      </c>
      <c r="U135" s="5" t="n">
        <v>19.757273</v>
      </c>
      <c r="V135" s="5" t="n">
        <v>7159.73</v>
      </c>
      <c r="W135" s="5" t="n">
        <v>1.399928832335117</v>
      </c>
      <c r="X135" s="5" t="n">
        <v>1.205693454692324</v>
      </c>
      <c r="Y135" s="5" t="n">
        <v>-0.2210341216929859</v>
      </c>
      <c r="Z135" s="5" t="n">
        <v>-0.4147062417858717</v>
      </c>
      <c r="AA135" s="5" t="n">
        <v>0.05877684433885823</v>
      </c>
      <c r="AB135" s="5" t="n">
        <v>-0.1431829971660912</v>
      </c>
      <c r="AC135" s="5" t="n">
        <v>-0.0575848776317778</v>
      </c>
      <c r="AD135" s="5" t="n">
        <v>-0.2554869429271681</v>
      </c>
      <c r="AE135" s="5" t="n">
        <v>11.105261</v>
      </c>
      <c r="AF135" s="5" t="n">
        <v>15.99179</v>
      </c>
      <c r="AG135" s="5" t="n">
        <v>23.35348</v>
      </c>
      <c r="AH135" s="5" t="n">
        <v>22.544594</v>
      </c>
      <c r="AI135" s="5" t="n"/>
      <c r="AJ135" s="5" t="n">
        <v>18.801012</v>
      </c>
      <c r="AK135" s="5" t="n">
        <v>17.707201</v>
      </c>
      <c r="AL135" s="5" t="inlineStr">
        <is>
          <t>Equity Scheme - Mid Cap Fund</t>
        </is>
      </c>
      <c r="AM135" s="5" t="n">
        <v>1.66</v>
      </c>
      <c r="AN135" s="5" t="n">
        <v>0</v>
      </c>
      <c r="AO135" s="5" t="n">
        <v>0.05</v>
      </c>
      <c r="AP135" s="5" t="n">
        <v>0.15</v>
      </c>
      <c r="AQ135" s="5" t="n">
        <v>1.86</v>
      </c>
      <c r="AR135" s="5" t="n">
        <v>0.84</v>
      </c>
      <c r="AS135" s="5" t="n">
        <v>0</v>
      </c>
      <c r="AT135" s="5" t="n">
        <v>0.05</v>
      </c>
      <c r="AU135" s="5" t="n">
        <v>0.15</v>
      </c>
      <c r="AV135" s="5" t="n">
        <v>1.04</v>
      </c>
      <c r="AW135" s="17" t="n">
        <v>-1.508297100588986</v>
      </c>
      <c r="AX135" t="inlineStr">
        <is>
          <t>108cr</t>
        </is>
      </c>
      <c r="AY135" s="26" t="n">
        <v>1.751749753258319</v>
      </c>
      <c r="AZ135" s="26" t="n">
        <v>1.439123152845944</v>
      </c>
      <c r="BA135" s="26" t="n">
        <v>0.6600814480314645</v>
      </c>
      <c r="BB135" s="28" t="n">
        <v>3</v>
      </c>
      <c r="BC135" t="n">
        <v>1</v>
      </c>
      <c r="BD135" t="n">
        <v>0</v>
      </c>
      <c r="BE135" t="n">
        <v>0</v>
      </c>
      <c r="BF135" t="n">
        <v>1</v>
      </c>
      <c r="BG135" t="n">
        <v>1</v>
      </c>
      <c r="BH135" t="n">
        <v>0</v>
      </c>
    </row>
    <row r="136">
      <c r="A136" s="5" t="inlineStr">
        <is>
          <t>ITI Mid Cap Fund</t>
        </is>
      </c>
      <c r="B136" s="5" t="inlineStr">
        <is>
          <t>mid cap</t>
        </is>
      </c>
      <c r="C136" s="5" t="inlineStr">
        <is>
          <t>Nifty Midcap 150 TRI</t>
        </is>
      </c>
      <c r="D136" s="5" t="inlineStr">
        <is>
          <t>Very High</t>
        </is>
      </c>
      <c r="E136" s="5" t="inlineStr">
        <is>
          <t>Very High</t>
        </is>
      </c>
      <c r="F136" s="13" t="n">
        <v>46023</v>
      </c>
      <c r="G136" s="5" t="n">
        <v>22.271</v>
      </c>
      <c r="H136" s="5" t="n">
        <v>24.5022</v>
      </c>
      <c r="I136" s="5" t="n">
        <v>6.2624145</v>
      </c>
      <c r="J136" s="5" t="n">
        <v>0.3675115</v>
      </c>
      <c r="K136" s="5" t="n">
        <v>5.894903</v>
      </c>
      <c r="L136" s="5" t="n">
        <v>26.645012</v>
      </c>
      <c r="M136" s="5" t="n">
        <v>2.527603000000003</v>
      </c>
      <c r="N136" s="5" t="n">
        <v>24.117409</v>
      </c>
      <c r="O136" s="5" t="n"/>
      <c r="P136" s="5" t="n"/>
      <c r="Q136" s="5" t="n"/>
      <c r="R136" s="5" t="n"/>
      <c r="S136" s="5" t="n"/>
      <c r="T136" s="5" t="n"/>
      <c r="U136" s="5" t="n">
        <v>20.38669</v>
      </c>
      <c r="V136" s="5" t="n">
        <v>1332.17</v>
      </c>
      <c r="W136" s="5" t="n">
        <v>0.1163550456372182</v>
      </c>
      <c r="X136" s="5" t="n">
        <v>-0.403883299133818</v>
      </c>
      <c r="Y136" s="5" t="n"/>
      <c r="Z136" s="5" t="n"/>
      <c r="AA136" s="5" t="n">
        <v>0.5400574134144375</v>
      </c>
      <c r="AB136" s="5" t="n">
        <v>0.09749597941355545</v>
      </c>
      <c r="AC136" s="5" t="n"/>
      <c r="AD136" s="5" t="n"/>
      <c r="AE136" s="5" t="n">
        <v>4.500303</v>
      </c>
      <c r="AF136" s="5" t="n"/>
      <c r="AG136" s="5" t="n">
        <v>24.408953</v>
      </c>
      <c r="AH136" s="5" t="n"/>
      <c r="AI136" s="5" t="n">
        <v>21.327864</v>
      </c>
      <c r="AJ136" s="5" t="n">
        <v>21.327864</v>
      </c>
      <c r="AK136" s="5" t="n">
        <v>18.030367</v>
      </c>
      <c r="AL136" s="5" t="inlineStr">
        <is>
          <t>Equity Scheme - Mid Cap Fund</t>
        </is>
      </c>
      <c r="AM136" s="5" t="n">
        <v>1.95</v>
      </c>
      <c r="AN136" s="5" t="n">
        <v>0</v>
      </c>
      <c r="AO136" s="5" t="n">
        <v>0.05</v>
      </c>
      <c r="AP136" s="5" t="n">
        <v>0.01</v>
      </c>
      <c r="AQ136" s="5" t="n">
        <v>2.01</v>
      </c>
      <c r="AR136" s="5" t="n">
        <v>0.23</v>
      </c>
      <c r="AS136" s="5" t="n">
        <v>0</v>
      </c>
      <c r="AT136" s="5" t="n">
        <v>0.05</v>
      </c>
      <c r="AU136" s="5" t="n">
        <v>0.01</v>
      </c>
      <c r="AV136" s="5" t="n">
        <v>0.29</v>
      </c>
      <c r="AW136" s="17" t="n">
        <v>-1.415735228987301</v>
      </c>
      <c r="AX136" t="inlineStr">
        <is>
          <t>19cr</t>
        </is>
      </c>
      <c r="AY136" s="26" t="n">
        <v>1.46355408274237</v>
      </c>
      <c r="AZ136" s="26" t="n">
        <v>1.439123152845944</v>
      </c>
      <c r="BA136" s="26" t="n">
        <v>0.6614190376891295</v>
      </c>
      <c r="BB136" s="28" t="n">
        <v>3</v>
      </c>
      <c r="BC136" t="n">
        <v>1</v>
      </c>
      <c r="BD136" t="n">
        <v>0</v>
      </c>
      <c r="BE136" t="n">
        <v>1</v>
      </c>
      <c r="BF136" t="n">
        <v>1</v>
      </c>
      <c r="BG136" t="n">
        <v>0</v>
      </c>
      <c r="BH136" t="n">
        <v>0</v>
      </c>
    </row>
    <row r="137">
      <c r="A137" s="5" t="inlineStr">
        <is>
          <t>JM Midcap Fund</t>
        </is>
      </c>
      <c r="B137" s="5" t="inlineStr">
        <is>
          <t>mid cap</t>
        </is>
      </c>
      <c r="C137" s="5" t="inlineStr">
        <is>
          <t>Nifty Midcap 150 TRI</t>
        </is>
      </c>
      <c r="D137" s="5" t="inlineStr">
        <is>
          <t>Very High</t>
        </is>
      </c>
      <c r="E137" s="5" t="inlineStr">
        <is>
          <t>Very High</t>
        </is>
      </c>
      <c r="F137" s="13" t="n">
        <v>46023</v>
      </c>
      <c r="G137" s="5" t="n">
        <v>18.8624</v>
      </c>
      <c r="H137" s="5" t="n">
        <v>19.9282</v>
      </c>
      <c r="I137" s="5" t="n">
        <v>-2.540628</v>
      </c>
      <c r="J137" s="5" t="n">
        <v>-8.435531000000001</v>
      </c>
      <c r="K137" s="5" t="n">
        <v>5.894903</v>
      </c>
      <c r="L137" s="5" t="n">
        <v>25.737911</v>
      </c>
      <c r="M137" s="5" t="n">
        <v>1.620502000000002</v>
      </c>
      <c r="N137" s="5" t="n">
        <v>24.117409</v>
      </c>
      <c r="O137" s="5" t="n"/>
      <c r="P137" s="5" t="n"/>
      <c r="Q137" s="5" t="n"/>
      <c r="R137" s="5" t="n"/>
      <c r="S137" s="5" t="n"/>
      <c r="T137" s="5" t="n"/>
      <c r="U137" s="5" t="n">
        <v>24.777222</v>
      </c>
      <c r="V137" s="5" t="n">
        <v>1177.9</v>
      </c>
      <c r="W137" s="5" t="n">
        <v>-1.694505584738961</v>
      </c>
      <c r="X137" s="5" t="n">
        <v>-2.011305317602897</v>
      </c>
      <c r="Y137" s="5" t="n"/>
      <c r="Z137" s="5" t="n"/>
      <c r="AA137" s="5" t="n">
        <v>0.2755743726331807</v>
      </c>
      <c r="AB137" s="5" t="n">
        <v>-0.07563527608140233</v>
      </c>
      <c r="AC137" s="5" t="n"/>
      <c r="AD137" s="5" t="n"/>
      <c r="AE137" s="5" t="n">
        <v>-4.054528</v>
      </c>
      <c r="AF137" s="5" t="n"/>
      <c r="AG137" s="5" t="n">
        <v>23.560339</v>
      </c>
      <c r="AH137" s="5" t="n"/>
      <c r="AI137" s="5" t="n">
        <v>23.763142</v>
      </c>
      <c r="AJ137" s="5" t="n">
        <v>23.763142</v>
      </c>
      <c r="AK137" s="5" t="n">
        <v>22.594841</v>
      </c>
      <c r="AL137" s="5" t="inlineStr">
        <is>
          <t>Equity Scheme - Mid Cap Fund</t>
        </is>
      </c>
      <c r="AM137" s="5" t="n">
        <v>2.03</v>
      </c>
      <c r="AN137" s="5" t="n">
        <v>0</v>
      </c>
      <c r="AO137" s="5" t="n">
        <v>0.05</v>
      </c>
      <c r="AP137" s="5" t="n">
        <v>0.08</v>
      </c>
      <c r="AQ137" s="5" t="n">
        <v>2.16</v>
      </c>
      <c r="AR137" s="5" t="n">
        <v>0.53</v>
      </c>
      <c r="AS137" s="5" t="n">
        <v>0</v>
      </c>
      <c r="AT137" s="5" t="n">
        <v>0.05</v>
      </c>
      <c r="AU137" s="5" t="n">
        <v>0.08</v>
      </c>
      <c r="AV137" s="5" t="n">
        <v>0.66</v>
      </c>
      <c r="AW137" s="17" t="n">
        <v>25.200781051023</v>
      </c>
      <c r="AX137" s="18" t="inlineStr">
        <is>
          <t>-297cr</t>
        </is>
      </c>
      <c r="AY137" s="26" t="n">
        <v>1.590992159113993</v>
      </c>
      <c r="AZ137" s="26" t="n">
        <v>1.439123152845944</v>
      </c>
      <c r="BA137" s="26" t="n">
        <v>0.7199459135044407</v>
      </c>
      <c r="BB137" s="28" t="n">
        <v>2</v>
      </c>
      <c r="BC137" t="n">
        <v>0</v>
      </c>
      <c r="BD137" t="n">
        <v>1</v>
      </c>
      <c r="BE137" t="n">
        <v>1</v>
      </c>
      <c r="BF137" t="n">
        <v>0</v>
      </c>
      <c r="BG137" t="n">
        <v>0</v>
      </c>
      <c r="BH137" t="n">
        <v>0</v>
      </c>
    </row>
    <row r="138">
      <c r="A138" s="5" t="inlineStr">
        <is>
          <t>Kotak Midcap Fund</t>
        </is>
      </c>
      <c r="B138" s="5" t="inlineStr">
        <is>
          <t>mid cap</t>
        </is>
      </c>
      <c r="C138" s="5" t="inlineStr">
        <is>
          <t>Nifty Midcap 150 TRI</t>
        </is>
      </c>
      <c r="D138" s="5" t="inlineStr">
        <is>
          <t>Very High</t>
        </is>
      </c>
      <c r="E138" s="5" t="inlineStr">
        <is>
          <t>Very High</t>
        </is>
      </c>
      <c r="F138" s="13" t="n">
        <v>46023</v>
      </c>
      <c r="G138" s="5" t="n">
        <v>136.94</v>
      </c>
      <c r="H138" s="5" t="n">
        <v>159.248</v>
      </c>
      <c r="I138" s="5" t="n">
        <v>2.6757276</v>
      </c>
      <c r="J138" s="5" t="n">
        <v>-3.2191754</v>
      </c>
      <c r="K138" s="5" t="n">
        <v>5.894903</v>
      </c>
      <c r="L138" s="5" t="n">
        <v>22.75015</v>
      </c>
      <c r="M138" s="5" t="n">
        <v>-1.367258999999997</v>
      </c>
      <c r="N138" s="5" t="n">
        <v>24.117409</v>
      </c>
      <c r="O138" s="5" t="n">
        <v>23.825293</v>
      </c>
      <c r="P138" s="5" t="n">
        <v>-0.02303800000000322</v>
      </c>
      <c r="Q138" s="5" t="n">
        <v>23.848331</v>
      </c>
      <c r="R138" s="5" t="n">
        <v>19.14289</v>
      </c>
      <c r="S138" s="5" t="n">
        <v>0.9065870000000018</v>
      </c>
      <c r="T138" s="5" t="n">
        <v>18.236303</v>
      </c>
      <c r="U138" s="5" t="n">
        <v>20.527367</v>
      </c>
      <c r="V138" s="5" t="n">
        <v>60796.93</v>
      </c>
      <c r="W138" s="5" t="n">
        <v>-0.7508668986365206</v>
      </c>
      <c r="X138" s="5" t="n">
        <v>-0.9851928893926661</v>
      </c>
      <c r="Y138" s="5" t="n">
        <v>0.08727664561214159</v>
      </c>
      <c r="Z138" s="5" t="n">
        <v>-0.1673458731637036</v>
      </c>
      <c r="AA138" s="5" t="n">
        <v>-0.2964280667395842</v>
      </c>
      <c r="AB138" s="5" t="n">
        <v>-0.5430495131521804</v>
      </c>
      <c r="AC138" s="5" t="n">
        <v>-0.06799917979497927</v>
      </c>
      <c r="AD138" s="5" t="n">
        <v>-0.308849280317384</v>
      </c>
      <c r="AE138" s="5" t="n">
        <v>1.6357914</v>
      </c>
      <c r="AF138" s="5" t="n">
        <v>17.688175</v>
      </c>
      <c r="AG138" s="5" t="n">
        <v>21.424623</v>
      </c>
      <c r="AH138" s="5" t="n">
        <v>22.406185</v>
      </c>
      <c r="AI138" s="5" t="n">
        <v>16.08882</v>
      </c>
      <c r="AJ138" s="5" t="n">
        <v>18.70939</v>
      </c>
      <c r="AK138" s="5" t="n">
        <v>14.958733</v>
      </c>
      <c r="AL138" s="5" t="inlineStr">
        <is>
          <t>Equity Scheme - Mid Cap Fund</t>
        </is>
      </c>
      <c r="AM138" s="5" t="n">
        <v>1.3</v>
      </c>
      <c r="AN138" s="5" t="n">
        <v>0</v>
      </c>
      <c r="AO138" s="5" t="n">
        <v>0.05</v>
      </c>
      <c r="AP138" s="5" t="n">
        <v>0.04</v>
      </c>
      <c r="AQ138" s="5" t="n">
        <v>1.39</v>
      </c>
      <c r="AR138" s="5" t="n">
        <v>0.34</v>
      </c>
      <c r="AS138" s="5" t="n">
        <v>0</v>
      </c>
      <c r="AT138" s="5" t="n">
        <v>0</v>
      </c>
      <c r="AU138" s="5" t="n">
        <v>0.04</v>
      </c>
      <c r="AV138" s="5" t="n">
        <v>0.38</v>
      </c>
      <c r="AW138" s="17" t="n">
        <v>-0.7018775454615902</v>
      </c>
      <c r="AX138" t="inlineStr">
        <is>
          <t>427cr</t>
        </is>
      </c>
      <c r="AY138" s="26" t="n">
        <v>1.201531936489613</v>
      </c>
      <c r="AZ138" s="26" t="n">
        <v>1.439123152845944</v>
      </c>
      <c r="BA138" s="26" t="n">
        <v>0.6581012127237692</v>
      </c>
      <c r="BB138" s="28" t="n">
        <v>2</v>
      </c>
      <c r="BC138" t="n">
        <v>0</v>
      </c>
      <c r="BD138" t="n">
        <v>0</v>
      </c>
      <c r="BE138" t="n">
        <v>1</v>
      </c>
      <c r="BF138" t="n">
        <v>0</v>
      </c>
      <c r="BG138" t="n">
        <v>0</v>
      </c>
      <c r="BH138" t="n">
        <v>1</v>
      </c>
    </row>
    <row r="139">
      <c r="A139" s="5" t="inlineStr">
        <is>
          <t>Mahindra Manulife Mid Cap Fund</t>
        </is>
      </c>
      <c r="B139" s="5" t="inlineStr">
        <is>
          <t>mid cap</t>
        </is>
      </c>
      <c r="C139" s="5" t="inlineStr">
        <is>
          <t>Nifty Midcap 150 TRI</t>
        </is>
      </c>
      <c r="D139" s="5" t="inlineStr">
        <is>
          <t>Very High</t>
        </is>
      </c>
      <c r="E139" s="5" t="inlineStr">
        <is>
          <t>Very High</t>
        </is>
      </c>
      <c r="F139" s="13" t="n">
        <v>46023</v>
      </c>
      <c r="G139" s="5" t="n">
        <v>33.9436</v>
      </c>
      <c r="H139" s="5" t="n">
        <v>38.6588</v>
      </c>
      <c r="I139" s="5" t="n">
        <v>2.4918542</v>
      </c>
      <c r="J139" s="5" t="n">
        <v>-3.4030488</v>
      </c>
      <c r="K139" s="5" t="n">
        <v>5.894903</v>
      </c>
      <c r="L139" s="5" t="n">
        <v>26.31204</v>
      </c>
      <c r="M139" s="5" t="n">
        <v>2.194631000000001</v>
      </c>
      <c r="N139" s="5" t="n">
        <v>24.117409</v>
      </c>
      <c r="O139" s="5" t="n">
        <v>25.454664</v>
      </c>
      <c r="P139" s="5" t="n">
        <v>1.606332999999999</v>
      </c>
      <c r="Q139" s="5" t="n">
        <v>23.848331</v>
      </c>
      <c r="R139" s="5" t="n"/>
      <c r="S139" s="5" t="n"/>
      <c r="T139" s="5" t="n"/>
      <c r="U139" s="5" t="n">
        <v>18.60176</v>
      </c>
      <c r="V139" s="5" t="n">
        <v>4317.51</v>
      </c>
      <c r="W139" s="5" t="n">
        <v>-0.9645275655820438</v>
      </c>
      <c r="X139" s="5" t="n">
        <v>-1.347857230035894</v>
      </c>
      <c r="Y139" s="5" t="n"/>
      <c r="Z139" s="5" t="n"/>
      <c r="AA139" s="5" t="n">
        <v>0.4612154799719551</v>
      </c>
      <c r="AB139" s="5" t="n">
        <v>0.06658932037491662</v>
      </c>
      <c r="AC139" s="5" t="n">
        <v>0.3113787417550672</v>
      </c>
      <c r="AD139" s="5" t="n">
        <v>-0.08842021850490005</v>
      </c>
      <c r="AE139" s="5" t="n">
        <v>1.0635257</v>
      </c>
      <c r="AF139" s="5" t="n"/>
      <c r="AG139" s="5" t="n">
        <v>24.4649</v>
      </c>
      <c r="AH139" s="5" t="n">
        <v>23.512718</v>
      </c>
      <c r="AI139" s="5" t="n">
        <v>16.299107</v>
      </c>
      <c r="AJ139" s="5" t="n">
        <v>16.299107</v>
      </c>
      <c r="AK139" s="5" t="n">
        <v>16.67127</v>
      </c>
      <c r="AL139" s="5" t="inlineStr">
        <is>
          <t>Equity Scheme - Mid Cap Fund</t>
        </is>
      </c>
      <c r="AM139" s="5" t="n">
        <v>1.74</v>
      </c>
      <c r="AN139" s="5" t="n">
        <v>0</v>
      </c>
      <c r="AO139" s="5" t="n">
        <v>0.05</v>
      </c>
      <c r="AP139" s="5" t="n">
        <v>0.06</v>
      </c>
      <c r="AQ139" s="5" t="n">
        <v>1.85</v>
      </c>
      <c r="AR139" s="5" t="n">
        <v>0.35</v>
      </c>
      <c r="AS139" s="5" t="n">
        <v>0</v>
      </c>
      <c r="AT139" s="5" t="n">
        <v>0.05</v>
      </c>
      <c r="AU139" s="5" t="n">
        <v>0.06</v>
      </c>
      <c r="AV139" s="5" t="n">
        <v>0.46</v>
      </c>
      <c r="AW139" s="17" t="n">
        <v>-1.422810833095935</v>
      </c>
      <c r="AX139" t="inlineStr">
        <is>
          <t>61cr</t>
        </is>
      </c>
      <c r="AY139" s="26" t="n">
        <v>1.339770398915703</v>
      </c>
      <c r="AZ139" s="26" t="n">
        <v>1.439123152845944</v>
      </c>
      <c r="BA139" s="26" t="n">
        <v>0.6309553796799549</v>
      </c>
      <c r="BB139" s="28" t="n">
        <v>2</v>
      </c>
      <c r="BC139" t="n">
        <v>0</v>
      </c>
      <c r="BD139" t="n">
        <v>0</v>
      </c>
      <c r="BE139" t="n">
        <v>1</v>
      </c>
      <c r="BF139" t="n">
        <v>0</v>
      </c>
      <c r="BG139" t="n">
        <v>0</v>
      </c>
      <c r="BH139" t="n">
        <v>1</v>
      </c>
    </row>
    <row r="140">
      <c r="A140" s="5" t="inlineStr">
        <is>
          <t>Mirae Asset Midcap Fund</t>
        </is>
      </c>
      <c r="B140" s="5" t="inlineStr">
        <is>
          <t>mid cap</t>
        </is>
      </c>
      <c r="C140" s="5" t="inlineStr">
        <is>
          <t>Nifty Midcap 150 TRI</t>
        </is>
      </c>
      <c r="D140" s="5" t="inlineStr">
        <is>
          <t>Very High</t>
        </is>
      </c>
      <c r="E140" s="5" t="inlineStr">
        <is>
          <t>Very High</t>
        </is>
      </c>
      <c r="F140" s="13" t="n">
        <v>46023</v>
      </c>
      <c r="G140" s="5" t="n">
        <v>38.265</v>
      </c>
      <c r="H140" s="5" t="n">
        <v>41.593</v>
      </c>
      <c r="I140" s="5" t="n">
        <v>10.142202</v>
      </c>
      <c r="J140" s="5" t="n">
        <v>4.247298999999999</v>
      </c>
      <c r="K140" s="5" t="n">
        <v>5.894903</v>
      </c>
      <c r="L140" s="5" t="n">
        <v>21.904642</v>
      </c>
      <c r="M140" s="5" t="n">
        <v>-2.212766999999999</v>
      </c>
      <c r="N140" s="5" t="n">
        <v>24.117409</v>
      </c>
      <c r="O140" s="5" t="n">
        <v>23.443535</v>
      </c>
      <c r="P140" s="5" t="n">
        <v>-0.404796000000001</v>
      </c>
      <c r="Q140" s="5" t="n">
        <v>23.848331</v>
      </c>
      <c r="R140" s="5" t="n"/>
      <c r="S140" s="5" t="n"/>
      <c r="T140" s="5" t="n"/>
      <c r="U140" s="5" t="n">
        <v>24.803738</v>
      </c>
      <c r="V140" s="5" t="n">
        <v>18467.61</v>
      </c>
      <c r="W140" s="5" t="n">
        <v>1.207470158630271</v>
      </c>
      <c r="X140" s="5" t="n">
        <v>0.8621194565271946</v>
      </c>
      <c r="Y140" s="5" t="n"/>
      <c r="Z140" s="5" t="n"/>
      <c r="AA140" s="5" t="n">
        <v>-0.5342959661117276</v>
      </c>
      <c r="AB140" s="5" t="n">
        <v>-0.8335278452569317</v>
      </c>
      <c r="AC140" s="5" t="n">
        <v>-0.1288663502415721</v>
      </c>
      <c r="AD140" s="5" t="n">
        <v>-0.4090774476682957</v>
      </c>
      <c r="AE140" s="5" t="n">
        <v>8.955011000000001</v>
      </c>
      <c r="AF140" s="5" t="n"/>
      <c r="AG140" s="5" t="n">
        <v>20.568121</v>
      </c>
      <c r="AH140" s="5" t="n">
        <v>21.976421</v>
      </c>
      <c r="AI140" s="5" t="n">
        <v>24.259644</v>
      </c>
      <c r="AJ140" s="5" t="n">
        <v>24.259644</v>
      </c>
      <c r="AK140" s="5" t="n">
        <v>23.196217</v>
      </c>
      <c r="AL140" s="5" t="inlineStr">
        <is>
          <t>Equity Scheme - Mid Cap Fund</t>
        </is>
      </c>
      <c r="AM140" s="5" t="n">
        <v>1.53</v>
      </c>
      <c r="AN140" s="5" t="n">
        <v>0</v>
      </c>
      <c r="AO140" s="5" t="n">
        <v>0.05</v>
      </c>
      <c r="AP140" s="5" t="n">
        <v>0.08</v>
      </c>
      <c r="AQ140" s="5" t="n">
        <v>1.66</v>
      </c>
      <c r="AR140" s="5" t="n">
        <v>0.45</v>
      </c>
      <c r="AS140" s="5" t="n">
        <v>0</v>
      </c>
      <c r="AT140" s="5" t="n">
        <v>0.05</v>
      </c>
      <c r="AU140" s="5" t="n">
        <v>0.08</v>
      </c>
      <c r="AV140" s="5" t="n">
        <v>0.58</v>
      </c>
      <c r="AW140" s="17" t="n">
        <v>-0.5895727709216353</v>
      </c>
      <c r="AX140" t="inlineStr">
        <is>
          <t>109cr</t>
        </is>
      </c>
      <c r="AY140" s="26" t="n">
        <v>1.41106097019324</v>
      </c>
      <c r="AZ140" s="26" t="n">
        <v>1.439123152845944</v>
      </c>
      <c r="BA140" s="26" t="n">
        <v>0.5974009398623595</v>
      </c>
      <c r="BB140" s="28" t="n">
        <v>5</v>
      </c>
      <c r="BC140" t="n">
        <v>1</v>
      </c>
      <c r="BD140" t="n">
        <v>0</v>
      </c>
      <c r="BE140" t="n">
        <v>1</v>
      </c>
      <c r="BF140" t="n">
        <v>1</v>
      </c>
      <c r="BG140" t="n">
        <v>1</v>
      </c>
      <c r="BH140" t="n">
        <v>1</v>
      </c>
    </row>
    <row r="141">
      <c r="A141" s="5" t="inlineStr">
        <is>
          <t>Motilal Oswal Midcap Fund</t>
        </is>
      </c>
      <c r="B141" s="5" t="inlineStr">
        <is>
          <t>mid cap</t>
        </is>
      </c>
      <c r="C141" s="5" t="inlineStr">
        <is>
          <t>Nifty Midcap 150 TRI</t>
        </is>
      </c>
      <c r="D141" s="5" t="inlineStr">
        <is>
          <t>Very High</t>
        </is>
      </c>
      <c r="E141" s="5" t="inlineStr">
        <is>
          <t>Very High</t>
        </is>
      </c>
      <c r="F141" s="13" t="n">
        <v>46023</v>
      </c>
      <c r="G141" s="5" t="n">
        <v>99.074</v>
      </c>
      <c r="H141" s="5" t="n">
        <v>113.9116</v>
      </c>
      <c r="I141" s="5" t="n">
        <v>-11.406686</v>
      </c>
      <c r="J141" s="5" t="n">
        <v>-17.301589</v>
      </c>
      <c r="K141" s="5" t="n">
        <v>5.894903</v>
      </c>
      <c r="L141" s="5" t="n">
        <v>26.35076</v>
      </c>
      <c r="M141" s="5" t="n">
        <v>2.233351000000003</v>
      </c>
      <c r="N141" s="5" t="n">
        <v>24.117409</v>
      </c>
      <c r="O141" s="5" t="n">
        <v>28.745785</v>
      </c>
      <c r="P141" s="5" t="n">
        <v>4.897454</v>
      </c>
      <c r="Q141" s="5" t="n">
        <v>23.848331</v>
      </c>
      <c r="R141" s="5" t="n">
        <v>18.422018</v>
      </c>
      <c r="S141" s="5" t="n">
        <v>0.1857150000000019</v>
      </c>
      <c r="T141" s="5" t="n">
        <v>18.236303</v>
      </c>
      <c r="U141" s="5" t="n">
        <v>22.76784</v>
      </c>
      <c r="V141" s="5" t="n">
        <v>36943.97</v>
      </c>
      <c r="W141" s="5" t="n">
        <v>-1.960239887323776</v>
      </c>
      <c r="X141" s="5" t="n">
        <v>-2.057427271645107</v>
      </c>
      <c r="Y141" s="5" t="n">
        <v>0.02263162071582077</v>
      </c>
      <c r="Z141" s="5" t="n">
        <v>-0.1202290239203271</v>
      </c>
      <c r="AA141" s="5" t="n">
        <v>0.2097189604640918</v>
      </c>
      <c r="AB141" s="5" t="n">
        <v>0.09041252342513187</v>
      </c>
      <c r="AC141" s="5" t="n">
        <v>0.4510870220200629</v>
      </c>
      <c r="AD141" s="5" t="n">
        <v>0.3232253481099671</v>
      </c>
      <c r="AE141" s="5" t="n">
        <v>-12.1822195</v>
      </c>
      <c r="AF141" s="5" t="n">
        <v>17.041035</v>
      </c>
      <c r="AG141" s="5" t="n">
        <v>25.062384</v>
      </c>
      <c r="AH141" s="5" t="n">
        <v>27.347116</v>
      </c>
      <c r="AI141" s="5" t="n">
        <v>21.449049</v>
      </c>
      <c r="AJ141" s="5" t="n">
        <v>21.449049</v>
      </c>
      <c r="AK141" s="5" t="n">
        <v>21.33174</v>
      </c>
      <c r="AL141" s="5" t="inlineStr">
        <is>
          <t>Equity Scheme - Mid Cap Fund</t>
        </is>
      </c>
      <c r="AM141" s="5" t="n">
        <v>1.42</v>
      </c>
      <c r="AN141" s="5" t="n">
        <v>0</v>
      </c>
      <c r="AO141" s="5" t="n">
        <v>0.05</v>
      </c>
      <c r="AP141" s="5" t="n">
        <v>0.09</v>
      </c>
      <c r="AQ141" s="5" t="n">
        <v>1.56</v>
      </c>
      <c r="AR141" s="5" t="n">
        <v>0.63</v>
      </c>
      <c r="AS141" s="5" t="n">
        <v>0</v>
      </c>
      <c r="AT141" s="5" t="n">
        <v>0.05</v>
      </c>
      <c r="AU141" s="5" t="n">
        <v>0.09</v>
      </c>
      <c r="AV141" s="5" t="n">
        <v>0.77</v>
      </c>
      <c r="AW141" s="17" t="n">
        <v>2.910380232552157</v>
      </c>
      <c r="AX141" s="18" t="inlineStr">
        <is>
          <t>-1075cr</t>
        </is>
      </c>
      <c r="AY141" s="26" t="n">
        <v>1.827763124872633</v>
      </c>
      <c r="AZ141" s="26" t="n">
        <v>1.439123152845944</v>
      </c>
      <c r="BA141" s="26" t="n">
        <v>0.9043596675363103</v>
      </c>
      <c r="BB141" s="28" t="n">
        <v>1</v>
      </c>
      <c r="BC141" t="n">
        <v>0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</row>
    <row r="142">
      <c r="A142" s="5" t="inlineStr">
        <is>
          <t>Nippon India Growth Mid Cap Fund</t>
        </is>
      </c>
      <c r="B142" s="5" t="inlineStr">
        <is>
          <t>mid cap</t>
        </is>
      </c>
      <c r="C142" s="5" t="inlineStr">
        <is>
          <t>Nifty Midcap 150 TRI</t>
        </is>
      </c>
      <c r="D142" s="5" t="inlineStr">
        <is>
          <t>Very High</t>
        </is>
      </c>
      <c r="E142" s="5" t="inlineStr">
        <is>
          <t>Very High</t>
        </is>
      </c>
      <c r="F142" s="13" t="n">
        <v>46023</v>
      </c>
      <c r="G142" s="5" t="n">
        <v>4250.6175</v>
      </c>
      <c r="H142" s="5" t="n">
        <v>4673.7208</v>
      </c>
      <c r="I142" s="5" t="n">
        <v>4.8695025</v>
      </c>
      <c r="J142" s="5" t="n">
        <v>-1.0254005</v>
      </c>
      <c r="K142" s="5" t="n">
        <v>5.894903</v>
      </c>
      <c r="L142" s="5" t="n">
        <v>26.19723</v>
      </c>
      <c r="M142" s="5" t="n">
        <v>2.079821000000003</v>
      </c>
      <c r="N142" s="5" t="n">
        <v>24.117409</v>
      </c>
      <c r="O142" s="5" t="n">
        <v>25.66013</v>
      </c>
      <c r="P142" s="5" t="n">
        <v>1.811798999999997</v>
      </c>
      <c r="Q142" s="5" t="n">
        <v>23.848331</v>
      </c>
      <c r="R142" s="5" t="n">
        <v>18.928843</v>
      </c>
      <c r="S142" s="5" t="n">
        <v>0.692540000000001</v>
      </c>
      <c r="T142" s="5" t="n">
        <v>18.236303</v>
      </c>
      <c r="U142" s="5" t="n">
        <v>18.621197</v>
      </c>
      <c r="V142" s="5" t="n">
        <v>42392.49</v>
      </c>
      <c r="W142" s="5" t="n">
        <v>-0.3611050486316557</v>
      </c>
      <c r="X142" s="5" t="n">
        <v>-0.6384565273904379</v>
      </c>
      <c r="Y142" s="5" t="n">
        <v>0.107527110435137</v>
      </c>
      <c r="Z142" s="5" t="n">
        <v>-0.07678063976350684</v>
      </c>
      <c r="AA142" s="5" t="n">
        <v>0.5035298543161104</v>
      </c>
      <c r="AB142" s="5" t="n">
        <v>0.2502884974294683</v>
      </c>
      <c r="AC142" s="5" t="n">
        <v>0.3770241508690473</v>
      </c>
      <c r="AD142" s="5" t="n">
        <v>0.1559440176610636</v>
      </c>
      <c r="AE142" s="5" t="n">
        <v>4.0093575</v>
      </c>
      <c r="AF142" s="5" t="n">
        <v>18.033726</v>
      </c>
      <c r="AG142" s="5" t="n">
        <v>25.192017</v>
      </c>
      <c r="AH142" s="5" t="n">
        <v>24.670742</v>
      </c>
      <c r="AI142" s="5" t="n"/>
      <c r="AJ142" s="5" t="n">
        <v>18.761415</v>
      </c>
      <c r="AK142" s="5" t="n">
        <v>22.145426</v>
      </c>
      <c r="AL142" s="5" t="inlineStr">
        <is>
          <t>Equity Scheme - Mid Cap Fund</t>
        </is>
      </c>
      <c r="AM142" s="5" t="n">
        <v>1.39</v>
      </c>
      <c r="AN142" s="5" t="n">
        <v>0</v>
      </c>
      <c r="AO142" s="5" t="n">
        <v>0.05</v>
      </c>
      <c r="AP142" s="5" t="n">
        <v>0.1</v>
      </c>
      <c r="AQ142" s="5" t="n">
        <v>1.54</v>
      </c>
      <c r="AR142" s="5" t="n">
        <v>0.59</v>
      </c>
      <c r="AS142" s="5" t="n">
        <v>0</v>
      </c>
      <c r="AT142" s="5" t="n">
        <v>0.05</v>
      </c>
      <c r="AU142" s="5" t="n">
        <v>0.1</v>
      </c>
      <c r="AV142" s="5" t="n">
        <v>0.74</v>
      </c>
      <c r="AW142" s="17" t="n">
        <v>-0.793654725164757</v>
      </c>
      <c r="AX142" t="inlineStr">
        <is>
          <t>336cr</t>
        </is>
      </c>
      <c r="AY142" s="26" t="n">
        <v>1.156013840929922</v>
      </c>
      <c r="AZ142" s="26" t="n">
        <v>1.439123152845944</v>
      </c>
      <c r="BA142" s="26" t="n">
        <v>0.6161556528539465</v>
      </c>
      <c r="BB142" s="28" t="n">
        <v>2</v>
      </c>
      <c r="BC142" t="n">
        <v>1</v>
      </c>
      <c r="BD142" t="n">
        <v>0</v>
      </c>
      <c r="BE142" t="n">
        <v>0</v>
      </c>
      <c r="BF142" t="n">
        <v>0</v>
      </c>
      <c r="BG142" t="n">
        <v>0</v>
      </c>
      <c r="BH142" t="n">
        <v>1</v>
      </c>
    </row>
    <row r="143">
      <c r="A143" s="5" t="inlineStr">
        <is>
          <t>PGIM India Midcap Fund</t>
        </is>
      </c>
      <c r="B143" s="5" t="inlineStr">
        <is>
          <t>mid cap</t>
        </is>
      </c>
      <c r="C143" s="5" t="inlineStr">
        <is>
          <t>Nifty Midcap 150 TRI</t>
        </is>
      </c>
      <c r="D143" s="5" t="inlineStr">
        <is>
          <t>Very High</t>
        </is>
      </c>
      <c r="E143" s="5" t="inlineStr">
        <is>
          <t>Very High</t>
        </is>
      </c>
      <c r="F143" s="13" t="n">
        <v>46023</v>
      </c>
      <c r="G143" s="5" t="n">
        <v>64</v>
      </c>
      <c r="H143" s="5" t="n">
        <v>74.54000000000001</v>
      </c>
      <c r="I143" s="5" t="n">
        <v>0.92066073</v>
      </c>
      <c r="J143" s="5" t="n">
        <v>-4.97424227</v>
      </c>
      <c r="K143" s="5" t="n">
        <v>5.894903</v>
      </c>
      <c r="L143" s="5" t="n">
        <v>14.972675</v>
      </c>
      <c r="M143" s="5" t="n">
        <v>-9.144733999999998</v>
      </c>
      <c r="N143" s="5" t="n">
        <v>24.117409</v>
      </c>
      <c r="O143" s="5" t="n">
        <v>20.194008</v>
      </c>
      <c r="P143" s="5" t="n">
        <v>-3.654323000000002</v>
      </c>
      <c r="Q143" s="5" t="n">
        <v>23.848331</v>
      </c>
      <c r="R143" s="5" t="n">
        <v>16.685486</v>
      </c>
      <c r="S143" s="5" t="n">
        <v>-1.550816999999999</v>
      </c>
      <c r="T143" s="5" t="n">
        <v>18.236303</v>
      </c>
      <c r="U143" s="5" t="n">
        <v>18.074327</v>
      </c>
      <c r="V143" s="5" t="n">
        <v>11278.05</v>
      </c>
      <c r="W143" s="5" t="n">
        <v>-1.011310237562744</v>
      </c>
      <c r="X143" s="5" t="n">
        <v>-1.260633296802005</v>
      </c>
      <c r="Y143" s="5" t="n">
        <v>-0.2912260630700707</v>
      </c>
      <c r="Z143" s="5" t="n">
        <v>-0.5718733424891388</v>
      </c>
      <c r="AA143" s="5" t="n">
        <v>-1.559574018466494</v>
      </c>
      <c r="AB143" s="5" t="n">
        <v>-1.812030982058654</v>
      </c>
      <c r="AC143" s="5" t="n">
        <v>-0.6275813724065852</v>
      </c>
      <c r="AD143" s="5" t="n">
        <v>-0.9115769804954745</v>
      </c>
      <c r="AE143" s="5" t="n">
        <v>-0.32705185</v>
      </c>
      <c r="AF143" s="5" t="n">
        <v>15.0230465</v>
      </c>
      <c r="AG143" s="5" t="n">
        <v>13.513863</v>
      </c>
      <c r="AH143" s="5" t="n">
        <v>18.44559</v>
      </c>
      <c r="AI143" s="5" t="n">
        <v>21.019602</v>
      </c>
      <c r="AJ143" s="5" t="n">
        <v>21.019602</v>
      </c>
      <c r="AK143" s="5" t="n">
        <v>16.594828</v>
      </c>
      <c r="AL143" s="5" t="inlineStr">
        <is>
          <t>Equity Scheme - Mid Cap Fund</t>
        </is>
      </c>
      <c r="AM143" s="5" t="n">
        <v>1.6</v>
      </c>
      <c r="AN143" s="5" t="n">
        <v>0</v>
      </c>
      <c r="AO143" s="5" t="n">
        <v>0.05</v>
      </c>
      <c r="AP143" s="5" t="n">
        <v>0.06</v>
      </c>
      <c r="AQ143" s="5" t="n">
        <v>1.71</v>
      </c>
      <c r="AR143" s="5" t="n">
        <v>0.4</v>
      </c>
      <c r="AS143" s="5" t="n">
        <v>0</v>
      </c>
      <c r="AT143" s="5" t="n">
        <v>0.05</v>
      </c>
      <c r="AU143" s="5" t="n">
        <v>0.06</v>
      </c>
      <c r="AV143" s="5" t="n">
        <v>0.51</v>
      </c>
      <c r="AW143" s="17" t="n">
        <v>2.220596645696734</v>
      </c>
      <c r="AX143" s="18" t="inlineStr">
        <is>
          <t>-250cr</t>
        </is>
      </c>
      <c r="AY143" s="26" t="n">
        <v>1.392077823141737</v>
      </c>
      <c r="AZ143" s="26" t="n">
        <v>1.439123152845944</v>
      </c>
      <c r="BA143" s="26" t="n">
        <v>0.6291544704065093</v>
      </c>
      <c r="BB143" s="28" t="n">
        <v>3</v>
      </c>
      <c r="BC143" t="n">
        <v>0</v>
      </c>
      <c r="BD143" t="n">
        <v>1</v>
      </c>
      <c r="BE143" t="n">
        <v>1</v>
      </c>
      <c r="BF143" t="n">
        <v>0</v>
      </c>
      <c r="BG143" t="n">
        <v>0</v>
      </c>
      <c r="BH143" t="n">
        <v>1</v>
      </c>
    </row>
    <row r="144">
      <c r="A144" s="5" t="inlineStr">
        <is>
          <t>SBI Midcap Fund</t>
        </is>
      </c>
      <c r="B144" s="5" t="inlineStr">
        <is>
          <t>mid cap</t>
        </is>
      </c>
      <c r="C144" s="5" t="inlineStr">
        <is>
          <t>Nifty Midcap 150 TRI</t>
        </is>
      </c>
      <c r="D144" s="5" t="inlineStr">
        <is>
          <t>Very High</t>
        </is>
      </c>
      <c r="E144" s="5" t="inlineStr">
        <is>
          <t>Very High</t>
        </is>
      </c>
      <c r="F144" s="13" t="n">
        <v>46023</v>
      </c>
      <c r="G144" s="5" t="n">
        <v>236.6766</v>
      </c>
      <c r="H144" s="5" t="n">
        <v>266.2726</v>
      </c>
      <c r="I144" s="5" t="n">
        <v>1.480518</v>
      </c>
      <c r="J144" s="5" t="n">
        <v>-4.414385</v>
      </c>
      <c r="K144" s="5" t="n">
        <v>5.894903</v>
      </c>
      <c r="L144" s="5" t="n">
        <v>18.623877</v>
      </c>
      <c r="M144" s="5" t="n">
        <v>-5.493531999999998</v>
      </c>
      <c r="N144" s="5" t="n">
        <v>24.117409</v>
      </c>
      <c r="O144" s="5" t="n">
        <v>21.40936</v>
      </c>
      <c r="P144" s="5" t="n">
        <v>-2.438971000000002</v>
      </c>
      <c r="Q144" s="5" t="n">
        <v>23.848331</v>
      </c>
      <c r="R144" s="5" t="n">
        <v>15.438234</v>
      </c>
      <c r="S144" s="5" t="n">
        <v>-2.798069</v>
      </c>
      <c r="T144" s="5" t="n">
        <v>18.236303</v>
      </c>
      <c r="U144" s="5" t="n">
        <v>18.904995</v>
      </c>
      <c r="V144" s="5" t="n">
        <v>23372.14</v>
      </c>
      <c r="W144" s="5" t="n">
        <v>-0.7571883808595805</v>
      </c>
      <c r="X144" s="5" t="n">
        <v>-0.8844125907155298</v>
      </c>
      <c r="Y144" s="5" t="n">
        <v>-0.4715442190933208</v>
      </c>
      <c r="Z144" s="5" t="n">
        <v>-0.6348708783711171</v>
      </c>
      <c r="AA144" s="5" t="n">
        <v>-0.8230621097793142</v>
      </c>
      <c r="AB144" s="5" t="n">
        <v>-0.9648590442061608</v>
      </c>
      <c r="AC144" s="5" t="n">
        <v>-0.3963634118554387</v>
      </c>
      <c r="AD144" s="5" t="n">
        <v>-0.5402286341219258</v>
      </c>
      <c r="AE144" s="5" t="n">
        <v>0.6476618</v>
      </c>
      <c r="AF144" s="5" t="n">
        <v>14.341317</v>
      </c>
      <c r="AG144" s="5" t="n">
        <v>17.600403</v>
      </c>
      <c r="AH144" s="5" t="n">
        <v>20.350235</v>
      </c>
      <c r="AI144" s="5" t="n"/>
      <c r="AJ144" s="5" t="n">
        <v>18.761415</v>
      </c>
      <c r="AK144" s="5" t="n">
        <v>16.451094</v>
      </c>
      <c r="AL144" s="5" t="inlineStr">
        <is>
          <t>Equity Scheme - Mid Cap Fund</t>
        </is>
      </c>
      <c r="AM144" s="5" t="n">
        <v>1.5</v>
      </c>
      <c r="AN144" s="5" t="n">
        <v>0</v>
      </c>
      <c r="AO144" s="5" t="n">
        <v>0.05</v>
      </c>
      <c r="AP144" s="5" t="n">
        <v>0.12</v>
      </c>
      <c r="AQ144" s="5" t="n">
        <v>1.67</v>
      </c>
      <c r="AR144" s="5" t="n">
        <v>0.68</v>
      </c>
      <c r="AS144" s="5" t="n">
        <v>0</v>
      </c>
      <c r="AT144" s="5" t="n">
        <v>0.05</v>
      </c>
      <c r="AU144" s="5" t="n">
        <v>0.12</v>
      </c>
      <c r="AV144" s="5" t="n">
        <v>0.85</v>
      </c>
      <c r="AW144" s="17" t="n">
        <v>-0.3525992912929661</v>
      </c>
      <c r="AX144" t="inlineStr">
        <is>
          <t>82cr</t>
        </is>
      </c>
      <c r="AY144" s="26" t="n">
        <v>1.302665827882871</v>
      </c>
      <c r="AZ144" s="26" t="n">
        <v>1.439123152845944</v>
      </c>
      <c r="BA144" s="26" t="n">
        <v>0.5386467783352669</v>
      </c>
      <c r="BB144" s="28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</v>
      </c>
    </row>
    <row r="145">
      <c r="A145" s="5" t="inlineStr">
        <is>
          <t>Sundaram Mid Cap Fund</t>
        </is>
      </c>
      <c r="B145" s="5" t="inlineStr">
        <is>
          <t>mid cap</t>
        </is>
      </c>
      <c r="C145" s="5" t="inlineStr">
        <is>
          <t>Nifty Midcap 150 TRI</t>
        </is>
      </c>
      <c r="D145" s="5" t="inlineStr">
        <is>
          <t>Very High</t>
        </is>
      </c>
      <c r="E145" s="5" t="inlineStr">
        <is>
          <t>Very High</t>
        </is>
      </c>
      <c r="F145" s="13" t="n">
        <v>46023</v>
      </c>
      <c r="G145" s="5" t="n">
        <v>1439.4986</v>
      </c>
      <c r="H145" s="5" t="n">
        <v>1577.6966</v>
      </c>
      <c r="I145" s="5" t="n">
        <v>4.9803596</v>
      </c>
      <c r="J145" s="5" t="n">
        <v>-0.9145434000000003</v>
      </c>
      <c r="K145" s="5" t="n">
        <v>5.894903</v>
      </c>
      <c r="L145" s="5" t="n">
        <v>25.53567</v>
      </c>
      <c r="M145" s="5" t="n">
        <v>1.418261000000001</v>
      </c>
      <c r="N145" s="5" t="n">
        <v>24.117409</v>
      </c>
      <c r="O145" s="5" t="n">
        <v>23.550892</v>
      </c>
      <c r="P145" s="5" t="n">
        <v>-0.2974390000000007</v>
      </c>
      <c r="Q145" s="5" t="n">
        <v>23.848331</v>
      </c>
      <c r="R145" s="5" t="n">
        <v>16.027458</v>
      </c>
      <c r="S145" s="5" t="n">
        <v>-2.208845</v>
      </c>
      <c r="T145" s="5" t="n">
        <v>18.236303</v>
      </c>
      <c r="U145" s="5" t="n">
        <v>18.48513</v>
      </c>
      <c r="V145" s="5" t="n">
        <v>13323.25</v>
      </c>
      <c r="W145" s="5" t="n">
        <v>-0.3354751889783446</v>
      </c>
      <c r="X145" s="5" t="n">
        <v>-0.5863266821909063</v>
      </c>
      <c r="Y145" s="5" t="n">
        <v>-0.4879644617844635</v>
      </c>
      <c r="Z145" s="5" t="n">
        <v>-0.6655553534513733</v>
      </c>
      <c r="AA145" s="5" t="n">
        <v>0.2697016264474483</v>
      </c>
      <c r="AB145" s="5" t="n">
        <v>0.03328732594535339</v>
      </c>
      <c r="AC145" s="5" t="n">
        <v>-0.1083955663570594</v>
      </c>
      <c r="AD145" s="5" t="n">
        <v>-0.3277707573082753</v>
      </c>
      <c r="AE145" s="5" t="n">
        <v>4.1116285</v>
      </c>
      <c r="AF145" s="5" t="n">
        <v>15.15481</v>
      </c>
      <c r="AG145" s="5" t="n">
        <v>24.49558</v>
      </c>
      <c r="AH145" s="5" t="n">
        <v>22.507967</v>
      </c>
      <c r="AI145" s="5" t="n"/>
      <c r="AJ145" s="5" t="n">
        <v>18.761415</v>
      </c>
      <c r="AK145" s="5" t="n">
        <v>23.580894</v>
      </c>
      <c r="AL145" s="5" t="inlineStr">
        <is>
          <t>Equity Scheme - Mid Cap Fund</t>
        </is>
      </c>
      <c r="AM145" s="5" t="n">
        <v>1.57</v>
      </c>
      <c r="AN145" s="5" t="n">
        <v>0</v>
      </c>
      <c r="AO145" s="5" t="n">
        <v>0.05</v>
      </c>
      <c r="AP145" s="5" t="n">
        <v>0.12</v>
      </c>
      <c r="AQ145" s="5" t="n">
        <v>1.74</v>
      </c>
      <c r="AR145" s="5" t="n">
        <v>0.7</v>
      </c>
      <c r="AS145" s="5" t="n">
        <v>0</v>
      </c>
      <c r="AT145" s="5" t="n">
        <v>0.05</v>
      </c>
      <c r="AU145" s="5" t="n">
        <v>0.12</v>
      </c>
      <c r="AV145" s="5" t="n">
        <v>0.87</v>
      </c>
      <c r="AW145" s="17" t="n">
        <v>0.2864166025556816</v>
      </c>
      <c r="AX145" s="18" t="inlineStr">
        <is>
          <t>-38cr</t>
        </is>
      </c>
      <c r="AY145" s="26" t="n">
        <v>1.429122151428182</v>
      </c>
      <c r="AZ145" s="26" t="n">
        <v>1.439123152845944</v>
      </c>
      <c r="BA145" s="26" t="n">
        <v>0.630889398138741</v>
      </c>
      <c r="BB145" s="28" t="n">
        <v>3</v>
      </c>
      <c r="BC145" t="n">
        <v>1</v>
      </c>
      <c r="BD145" t="n">
        <v>1</v>
      </c>
      <c r="BE145" t="n">
        <v>0</v>
      </c>
      <c r="BF145" t="n">
        <v>0</v>
      </c>
      <c r="BG145" t="n">
        <v>0</v>
      </c>
      <c r="BH145" t="n">
        <v>1</v>
      </c>
    </row>
    <row r="146">
      <c r="A146" s="5" t="inlineStr">
        <is>
          <t>Tata Mid Cap Fund</t>
        </is>
      </c>
      <c r="B146" s="5" t="inlineStr">
        <is>
          <t>mid cap</t>
        </is>
      </c>
      <c r="C146" s="5" t="inlineStr">
        <is>
          <t>Nifty Midcap 150 TRI</t>
        </is>
      </c>
      <c r="D146" s="5" t="inlineStr">
        <is>
          <t>Very High</t>
        </is>
      </c>
      <c r="E146" s="5" t="inlineStr">
        <is>
          <t>Very High</t>
        </is>
      </c>
      <c r="F146" s="13" t="n">
        <v>46023</v>
      </c>
      <c r="G146" s="5" t="n">
        <v>452.3566</v>
      </c>
      <c r="H146" s="5" t="n">
        <v>517.2029</v>
      </c>
      <c r="I146" s="5" t="n">
        <v>7.053596</v>
      </c>
      <c r="J146" s="5" t="n">
        <v>1.158693</v>
      </c>
      <c r="K146" s="5" t="n">
        <v>5.894903</v>
      </c>
      <c r="L146" s="5" t="n">
        <v>23.701328</v>
      </c>
      <c r="M146" s="5" t="n">
        <v>-0.4160809999999984</v>
      </c>
      <c r="N146" s="5" t="n">
        <v>24.117409</v>
      </c>
      <c r="O146" s="5" t="n">
        <v>22.131353</v>
      </c>
      <c r="P146" s="5" t="n">
        <v>-1.716978000000001</v>
      </c>
      <c r="Q146" s="5" t="n">
        <v>23.848331</v>
      </c>
      <c r="R146" s="5" t="n">
        <v>17.035358</v>
      </c>
      <c r="S146" s="5" t="n">
        <v>-1.200945000000001</v>
      </c>
      <c r="T146" s="5" t="n">
        <v>18.236303</v>
      </c>
      <c r="U146" s="5" t="n">
        <v>19.770615</v>
      </c>
      <c r="V146" s="5" t="n">
        <v>5512.19</v>
      </c>
      <c r="W146" s="5" t="n">
        <v>0.1415454602686892</v>
      </c>
      <c r="X146" s="5" t="n">
        <v>-0.1301504284399183</v>
      </c>
      <c r="Y146" s="5" t="n">
        <v>-0.2560172876331145</v>
      </c>
      <c r="Z146" s="5" t="n">
        <v>-0.491260773788137</v>
      </c>
      <c r="AA146" s="5" t="n">
        <v>-0.1225882318095042</v>
      </c>
      <c r="AB146" s="5" t="n">
        <v>-0.4000126414522349</v>
      </c>
      <c r="AC146" s="5" t="n">
        <v>-0.3622128557033214</v>
      </c>
      <c r="AD146" s="5" t="n">
        <v>-0.6387385324842351</v>
      </c>
      <c r="AE146" s="5" t="n">
        <v>5.733211</v>
      </c>
      <c r="AF146" s="5" t="n">
        <v>15.750035</v>
      </c>
      <c r="AG146" s="5" t="n">
        <v>22.24042</v>
      </c>
      <c r="AH146" s="5" t="n">
        <v>20.654905</v>
      </c>
      <c r="AI146" s="5" t="n"/>
      <c r="AJ146" s="5" t="n">
        <v>18.761415</v>
      </c>
      <c r="AK146" s="5" t="n">
        <v>17.940052</v>
      </c>
      <c r="AL146" s="5" t="inlineStr">
        <is>
          <t>Equity Scheme - Mid Cap Fund</t>
        </is>
      </c>
      <c r="AM146" s="5" t="n">
        <v>1.7</v>
      </c>
      <c r="AN146" s="5" t="n">
        <v>0</v>
      </c>
      <c r="AO146" s="5" t="n">
        <v>0.05</v>
      </c>
      <c r="AP146" s="5" t="n">
        <v>0.08</v>
      </c>
      <c r="AQ146" s="5" t="n">
        <v>1.83</v>
      </c>
      <c r="AR146" s="5" t="n">
        <v>0.52</v>
      </c>
      <c r="AS146" s="5" t="n">
        <v>0</v>
      </c>
      <c r="AT146" s="5" t="n">
        <v>0.05</v>
      </c>
      <c r="AU146" s="5" t="n">
        <v>0.08</v>
      </c>
      <c r="AV146" s="5" t="n">
        <v>0.65</v>
      </c>
      <c r="AW146" s="17" t="n">
        <v>-1.536412932065107</v>
      </c>
      <c r="AX146" t="inlineStr">
        <is>
          <t>85cr</t>
        </is>
      </c>
      <c r="AY146" s="26" t="n">
        <v>1.66334069069185</v>
      </c>
      <c r="AZ146" s="26" t="n">
        <v>1.439123152845944</v>
      </c>
      <c r="BA146" s="26" t="n">
        <v>0.531398057437054</v>
      </c>
      <c r="BB146" s="28" t="n">
        <v>3</v>
      </c>
      <c r="BC146" t="n">
        <v>1</v>
      </c>
      <c r="BD146" t="n">
        <v>0</v>
      </c>
      <c r="BE146" t="n">
        <v>1</v>
      </c>
      <c r="BF146" t="n">
        <v>1</v>
      </c>
      <c r="BG146" t="n">
        <v>0</v>
      </c>
      <c r="BH146" t="n">
        <v>0</v>
      </c>
    </row>
    <row r="147">
      <c r="A147" s="5" t="inlineStr">
        <is>
          <t>Taurus Mid Cap Fund</t>
        </is>
      </c>
      <c r="B147" s="5" t="inlineStr">
        <is>
          <t>mid cap</t>
        </is>
      </c>
      <c r="C147" s="5" t="inlineStr">
        <is>
          <t>Nifty Midcap 150 TRI</t>
        </is>
      </c>
      <c r="D147" s="5" t="inlineStr">
        <is>
          <t>Very High</t>
        </is>
      </c>
      <c r="E147" s="5" t="inlineStr">
        <is>
          <t>Very High</t>
        </is>
      </c>
      <c r="F147" s="13" t="n">
        <v>46023</v>
      </c>
      <c r="G147" s="5" t="n">
        <v>120.64</v>
      </c>
      <c r="H147" s="5" t="n">
        <v>127.6</v>
      </c>
      <c r="I147" s="5" t="n">
        <v>0.8376798</v>
      </c>
      <c r="J147" s="5" t="n">
        <v>-5.0572232</v>
      </c>
      <c r="K147" s="5" t="n">
        <v>5.894903</v>
      </c>
      <c r="L147" s="5" t="n">
        <v>16.336443</v>
      </c>
      <c r="M147" s="5" t="n">
        <v>-7.780965999999999</v>
      </c>
      <c r="N147" s="5" t="n">
        <v>24.117409</v>
      </c>
      <c r="O147" s="5" t="n">
        <v>17.453375</v>
      </c>
      <c r="P147" s="5" t="n">
        <v>-6.394956000000001</v>
      </c>
      <c r="Q147" s="5" t="n">
        <v>23.848331</v>
      </c>
      <c r="R147" s="5" t="n">
        <v>15.11905</v>
      </c>
      <c r="S147" s="5" t="n">
        <v>-3.117253</v>
      </c>
      <c r="T147" s="5" t="n">
        <v>18.236303</v>
      </c>
      <c r="U147" s="5" t="n">
        <v>16.347185</v>
      </c>
      <c r="V147" s="5" t="n">
        <v>129.62</v>
      </c>
      <c r="W147" s="5" t="n">
        <v>-1.002715891170445</v>
      </c>
      <c r="X147" s="5" t="n">
        <v>-1.091878970353203</v>
      </c>
      <c r="Y147" s="5" t="n">
        <v>-0.5156948370579784</v>
      </c>
      <c r="Z147" s="5" t="n">
        <v>-0.5963948861825413</v>
      </c>
      <c r="AA147" s="5" t="n">
        <v>-1.1399136037528</v>
      </c>
      <c r="AB147" s="5" t="n">
        <v>-1.209902060130656</v>
      </c>
      <c r="AC147" s="5" t="n">
        <v>-0.9752107613845296</v>
      </c>
      <c r="AD147" s="5" t="n">
        <v>-1.046120384797054</v>
      </c>
      <c r="AE147" s="5" t="n">
        <v>0.39946738</v>
      </c>
      <c r="AF147" s="5" t="n">
        <v>14.638365</v>
      </c>
      <c r="AG147" s="5" t="n">
        <v>15.887682</v>
      </c>
      <c r="AH147" s="5" t="n">
        <v>17.013435</v>
      </c>
      <c r="AI147" s="5" t="n"/>
      <c r="AJ147" s="5" t="n">
        <v>18.761415</v>
      </c>
      <c r="AK147" s="5" t="n">
        <v>8.268621</v>
      </c>
      <c r="AL147" s="5" t="inlineStr">
        <is>
          <t>Equity Scheme - Mid Cap Fund</t>
        </is>
      </c>
      <c r="AM147" s="5" t="n">
        <v>2.23</v>
      </c>
      <c r="AN147" s="5" t="n">
        <v>0</v>
      </c>
      <c r="AO147" s="5" t="n">
        <v>0.05</v>
      </c>
      <c r="AP147" s="5" t="n">
        <v>0.26</v>
      </c>
      <c r="AQ147" s="5" t="n">
        <v>2.54</v>
      </c>
      <c r="AR147" s="5" t="n">
        <v>1.61</v>
      </c>
      <c r="AS147" s="5" t="n">
        <v>0</v>
      </c>
      <c r="AT147" s="5" t="n">
        <v>0.05</v>
      </c>
      <c r="AU147" s="5" t="n">
        <v>0.26</v>
      </c>
      <c r="AV147" s="5" t="n">
        <v>1.92</v>
      </c>
      <c r="AW147" s="17" t="n">
        <v>1.396389446073139</v>
      </c>
      <c r="AX147" s="18" t="inlineStr">
        <is>
          <t>-2cr</t>
        </is>
      </c>
      <c r="AY147" s="26" t="n">
        <v>1.273197465018951</v>
      </c>
      <c r="AZ147" s="26" t="n">
        <v>1.439123152845944</v>
      </c>
      <c r="BA147" s="26" t="n">
        <v>0.6227112811157138</v>
      </c>
      <c r="BB147" s="28" t="n">
        <v>2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1</v>
      </c>
    </row>
    <row r="148">
      <c r="A148" s="5" t="inlineStr">
        <is>
          <t>Union Midcap Fund</t>
        </is>
      </c>
      <c r="B148" s="5" t="inlineStr">
        <is>
          <t>mid cap</t>
        </is>
      </c>
      <c r="C148" s="5" t="inlineStr">
        <is>
          <t>BSE Midcap 150 TRI</t>
        </is>
      </c>
      <c r="D148" s="5" t="inlineStr">
        <is>
          <t>Very High</t>
        </is>
      </c>
      <c r="E148" s="5" t="inlineStr">
        <is>
          <t>Very High</t>
        </is>
      </c>
      <c r="F148" s="13" t="n">
        <v>46023</v>
      </c>
      <c r="G148" s="5" t="n">
        <v>48.82</v>
      </c>
      <c r="H148" s="5" t="n">
        <v>52.87</v>
      </c>
      <c r="I148" s="5" t="n">
        <v>3.6666667</v>
      </c>
      <c r="J148" s="5" t="n"/>
      <c r="K148" s="5" t="n"/>
      <c r="L148" s="5" t="n">
        <v>22.095476</v>
      </c>
      <c r="M148" s="5" t="n"/>
      <c r="N148" s="5" t="n"/>
      <c r="O148" s="5" t="n">
        <v>22.596397</v>
      </c>
      <c r="P148" s="5" t="n"/>
      <c r="Q148" s="5" t="n"/>
      <c r="R148" s="5" t="n"/>
      <c r="S148" s="5" t="n"/>
      <c r="T148" s="5" t="n"/>
      <c r="U148" s="5" t="n">
        <v>33.384365</v>
      </c>
      <c r="V148" s="5" t="n">
        <v>1640.59</v>
      </c>
      <c r="W148" s="5" t="n">
        <v>-0.01751128083065325</v>
      </c>
      <c r="X148" s="5" t="n">
        <v>-0.3383309542785801</v>
      </c>
      <c r="Y148" s="5" t="n"/>
      <c r="Z148" s="5" t="n"/>
      <c r="AA148" s="5" t="n">
        <v>-0.281153165886431</v>
      </c>
      <c r="AB148" s="5" t="n">
        <v>-0.637995188585738</v>
      </c>
      <c r="AC148" s="5" t="n">
        <v>-0.1763510472028601</v>
      </c>
      <c r="AD148" s="5" t="n">
        <v>-0.4689824802600349</v>
      </c>
      <c r="AE148" s="5" t="n">
        <v>2.2408378</v>
      </c>
      <c r="AF148" s="5" t="n"/>
      <c r="AG148" s="5" t="n">
        <v>20.327026</v>
      </c>
      <c r="AH148" s="5" t="n">
        <v>20.86213</v>
      </c>
      <c r="AI148" s="5" t="n"/>
      <c r="AJ148" s="5" t="n"/>
      <c r="AK148" s="5" t="n">
        <v>31.55811</v>
      </c>
      <c r="AL148" s="5" t="inlineStr">
        <is>
          <t>Equity Scheme - Mid Cap Fund</t>
        </is>
      </c>
      <c r="AM148" s="5" t="n">
        <v>1.95</v>
      </c>
      <c r="AN148" s="5" t="n">
        <v>0</v>
      </c>
      <c r="AO148" s="5" t="n">
        <v>0.05</v>
      </c>
      <c r="AP148" s="5" t="n">
        <v>0.09</v>
      </c>
      <c r="AQ148" s="5" t="n">
        <v>2.09</v>
      </c>
      <c r="AR148" s="5" t="n">
        <v>0.6</v>
      </c>
      <c r="AS148" s="5" t="n">
        <v>0</v>
      </c>
      <c r="AT148" s="5" t="n">
        <v>0.05</v>
      </c>
      <c r="AU148" s="5" t="n">
        <v>0.09</v>
      </c>
      <c r="AV148" s="5" t="n">
        <v>0.74</v>
      </c>
      <c r="AW148" s="17" t="n">
        <v>-0.07375395437006253</v>
      </c>
      <c r="AX148" t="inlineStr">
        <is>
          <t>1cr</t>
        </is>
      </c>
      <c r="AY148" s="26" t="n">
        <v>0.9951534458990148</v>
      </c>
      <c r="AZ148" s="26" t="n">
        <v>1.439123152845944</v>
      </c>
      <c r="BA148" s="26" t="n">
        <v>0.6542722723728969</v>
      </c>
      <c r="BB148" s="28" t="n">
        <v>2</v>
      </c>
      <c r="BC148" t="n">
        <v>1</v>
      </c>
      <c r="BD148" t="n">
        <v>0</v>
      </c>
      <c r="BE148" t="n">
        <v>0</v>
      </c>
      <c r="BF148" t="n">
        <v>0</v>
      </c>
      <c r="BG148" t="n">
        <v>0</v>
      </c>
      <c r="BH148" t="n">
        <v>1</v>
      </c>
    </row>
    <row r="149">
      <c r="A149" s="5" t="inlineStr">
        <is>
          <t>WhiteOak Capital Mid Cap Fund</t>
        </is>
      </c>
      <c r="B149" s="5" t="inlineStr">
        <is>
          <t>mid cap</t>
        </is>
      </c>
      <c r="C149" s="5" t="inlineStr">
        <is>
          <t>BSE Midcap 150 TRI</t>
        </is>
      </c>
      <c r="D149" s="5" t="inlineStr">
        <is>
          <t>Very High</t>
        </is>
      </c>
      <c r="E149" s="5" t="inlineStr">
        <is>
          <t>Very High</t>
        </is>
      </c>
      <c r="F149" s="13" t="n">
        <v>46023</v>
      </c>
      <c r="G149" s="5" t="n">
        <v>20.088</v>
      </c>
      <c r="H149" s="5" t="n">
        <v>21.172</v>
      </c>
      <c r="I149" s="5" t="n">
        <v>5.944756</v>
      </c>
      <c r="J149" s="5" t="n"/>
      <c r="K149" s="5" t="n"/>
      <c r="L149" s="5" t="n">
        <v>27.651936</v>
      </c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>
        <v>25.344378</v>
      </c>
      <c r="V149" s="5" t="n">
        <v>4449.95</v>
      </c>
      <c r="W149" s="5" t="n">
        <v>0.5175764570822787</v>
      </c>
      <c r="X149" s="5" t="n">
        <v>0.2089152100702218</v>
      </c>
      <c r="Y149" s="5" t="n"/>
      <c r="Z149" s="5" t="n"/>
      <c r="AA149" s="5" t="n">
        <v>0.7664637522294664</v>
      </c>
      <c r="AB149" s="5" t="n">
        <v>0.4027602156232545</v>
      </c>
      <c r="AC149" s="5" t="n"/>
      <c r="AD149" s="5" t="n"/>
      <c r="AE149" s="5" t="n">
        <v>4.4617786</v>
      </c>
      <c r="AF149" s="5" t="n"/>
      <c r="AG149" s="5" t="n">
        <v>25.663548</v>
      </c>
      <c r="AH149" s="5" t="n"/>
      <c r="AI149" s="5" t="n"/>
      <c r="AJ149" s="5" t="n"/>
      <c r="AK149" s="5" t="n">
        <v>23.376072</v>
      </c>
      <c r="AL149" s="5" t="inlineStr">
        <is>
          <t>Equity Scheme - Mid Cap Fund</t>
        </is>
      </c>
      <c r="AM149" s="5" t="n">
        <v>1.74</v>
      </c>
      <c r="AN149" s="5" t="n">
        <v>0</v>
      </c>
      <c r="AO149" s="5" t="n">
        <v>0.05</v>
      </c>
      <c r="AP149" s="5" t="n">
        <v>0.06</v>
      </c>
      <c r="AQ149" s="5" t="n">
        <v>1.85</v>
      </c>
      <c r="AR149" s="5" t="n">
        <v>0.43</v>
      </c>
      <c r="AS149" s="5" t="n">
        <v>0</v>
      </c>
      <c r="AT149" s="5" t="n">
        <v>0.05</v>
      </c>
      <c r="AU149" s="5" t="n">
        <v>0.06</v>
      </c>
      <c r="AV149" s="5" t="n">
        <v>0.54</v>
      </c>
      <c r="AW149" s="17" t="n">
        <v>-2.363622063169236</v>
      </c>
      <c r="AX149" t="inlineStr">
        <is>
          <t>105cr</t>
        </is>
      </c>
      <c r="AY149" s="26" t="n">
        <v>1.838876531571443</v>
      </c>
      <c r="AZ149" s="26" t="n">
        <v>1.439123152845944</v>
      </c>
      <c r="BA149" s="26" t="n">
        <v>0.6073780365250554</v>
      </c>
      <c r="BB149" s="28" t="n">
        <v>2</v>
      </c>
      <c r="BC149" t="n">
        <v>1</v>
      </c>
      <c r="BD149" t="n">
        <v>0</v>
      </c>
      <c r="BE149" t="n">
        <v>1</v>
      </c>
      <c r="BF149" t="n">
        <v>0</v>
      </c>
      <c r="BG149" t="n">
        <v>0</v>
      </c>
      <c r="BH149" t="n">
        <v>0</v>
      </c>
    </row>
    <row r="150">
      <c r="A150" s="15" t="inlineStr">
        <is>
          <t>category_avg_midcap</t>
        </is>
      </c>
      <c r="B150" s="15" t="n"/>
      <c r="C150" s="15" t="n"/>
      <c r="D150" s="15" t="n"/>
      <c r="E150" s="15" t="n"/>
      <c r="F150" s="16" t="n"/>
      <c r="G150" s="15" t="n"/>
      <c r="H150" s="15" t="n"/>
      <c r="I150" s="27" t="n">
        <v>3.631070372857143</v>
      </c>
      <c r="K150" s="27" t="n">
        <v>5.894903</v>
      </c>
      <c r="L150" s="27" t="n">
        <v>23.41784195238095</v>
      </c>
      <c r="N150" s="27" t="n">
        <v>24.117409</v>
      </c>
      <c r="O150" s="27" t="n">
        <v>23.12729064705882</v>
      </c>
      <c r="Q150" s="27" t="n">
        <v>23.848331</v>
      </c>
      <c r="R150" s="27" t="n">
        <v>17.377193</v>
      </c>
      <c r="T150" s="27" t="n">
        <v>18.236303</v>
      </c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>
        <f>AVERAGE(AA127:AA149)</f>
        <v/>
      </c>
      <c r="AF150" s="15">
        <f>AVERAGE(AB127:AB149)</f>
        <v/>
      </c>
      <c r="AG150" s="15">
        <f>AVERAGE(AC127:AC149)</f>
        <v/>
      </c>
      <c r="AH150" s="15">
        <f>AVERAGE(AD127:AD149)</f>
        <v/>
      </c>
      <c r="AI150" s="15">
        <f>AVERAGE(AE127:AE149)</f>
        <v/>
      </c>
      <c r="AJ150" s="15" t="n"/>
      <c r="AK150" s="15" t="n"/>
      <c r="AL150" s="15" t="n"/>
      <c r="AM150" s="15" t="n"/>
      <c r="AN150" s="15" t="n"/>
      <c r="AO150" s="15" t="n"/>
      <c r="AP150" s="15" t="n"/>
      <c r="AQ150" s="15" t="n"/>
      <c r="AR150" s="15" t="n"/>
      <c r="AS150" s="15" t="n"/>
      <c r="AT150" s="15" t="n"/>
      <c r="AU150" s="15" t="n"/>
      <c r="AV150" s="25" t="n">
        <v>0.7282608695652174</v>
      </c>
      <c r="AZ150" s="26" t="n">
        <v>1.439123405537395</v>
      </c>
    </row>
    <row r="151">
      <c r="A151" s="6" t="inlineStr">
        <is>
          <t>Axis Multicap Fund</t>
        </is>
      </c>
      <c r="B151" s="6" t="inlineStr">
        <is>
          <t>multi cap</t>
        </is>
      </c>
      <c r="C151" s="6" t="inlineStr">
        <is>
          <t>NIFTY 500 Multicap 50:25:25 Total Return Index</t>
        </is>
      </c>
      <c r="D151" s="6" t="inlineStr">
        <is>
          <t>Very High</t>
        </is>
      </c>
      <c r="E151" s="6" t="inlineStr">
        <is>
          <t>Very High</t>
        </is>
      </c>
      <c r="F151" s="14" t="n">
        <v>46023</v>
      </c>
      <c r="G151" s="6" t="n">
        <v>18.14</v>
      </c>
      <c r="H151" s="6" t="n">
        <v>19.11</v>
      </c>
      <c r="I151" s="6" t="n">
        <v>2.0288308</v>
      </c>
      <c r="J151" s="6" t="n">
        <v>-2.8320862</v>
      </c>
      <c r="K151" s="6" t="n">
        <v>4.860917</v>
      </c>
      <c r="L151" s="6" t="n">
        <v>23.816168</v>
      </c>
      <c r="M151" s="6" t="n">
        <v>4.926617</v>
      </c>
      <c r="N151" s="6" t="n">
        <v>18.889551</v>
      </c>
      <c r="O151" s="6" t="n"/>
      <c r="P151" s="6" t="n"/>
      <c r="Q151" s="6" t="n"/>
      <c r="R151" s="6" t="n"/>
      <c r="S151" s="6" t="n"/>
      <c r="T151" s="6" t="n"/>
      <c r="U151" s="6" t="n">
        <v>17.356152</v>
      </c>
      <c r="V151" s="6" t="n">
        <v>9273.91</v>
      </c>
      <c r="W151" s="6" t="n">
        <v>-0.8645627561171989</v>
      </c>
      <c r="X151" s="6" t="n">
        <v>-1.208039016493438</v>
      </c>
      <c r="Y151" s="6" t="n"/>
      <c r="Z151" s="6" t="n"/>
      <c r="AA151" s="6" t="n">
        <v>1.025788721810971</v>
      </c>
      <c r="AB151" s="6" t="n">
        <v>0.7286463239704023</v>
      </c>
      <c r="AC151" s="6" t="n"/>
      <c r="AD151" s="6" t="n"/>
      <c r="AE151" s="6" t="n">
        <v>0.94602114</v>
      </c>
      <c r="AF151" s="6" t="n"/>
      <c r="AG151" s="6" t="n">
        <v>22.341482</v>
      </c>
      <c r="AH151" s="6" t="n"/>
      <c r="AI151" s="6" t="n">
        <v>14.651545</v>
      </c>
      <c r="AJ151" s="6" t="n">
        <v>14.651545</v>
      </c>
      <c r="AK151" s="6" t="n">
        <v>15.855086</v>
      </c>
      <c r="AL151" s="6" t="inlineStr">
        <is>
          <t>Equity Scheme - Multi Cap Fund</t>
        </is>
      </c>
      <c r="AM151" s="6" t="n">
        <v>1.62</v>
      </c>
      <c r="AN151" s="6" t="n">
        <v>0</v>
      </c>
      <c r="AO151" s="6" t="n">
        <v>0.05</v>
      </c>
      <c r="AP151" s="6" t="n">
        <v>0.1</v>
      </c>
      <c r="AQ151" s="6" t="n">
        <v>1.77</v>
      </c>
      <c r="AR151" s="6" t="n">
        <v>0.5600000000000001</v>
      </c>
      <c r="AS151" s="6" t="n">
        <v>0</v>
      </c>
      <c r="AT151" s="6" t="n">
        <v>0.05</v>
      </c>
      <c r="AU151" s="6" t="n">
        <v>0.1</v>
      </c>
      <c r="AV151" s="6" t="n">
        <v>0.71</v>
      </c>
      <c r="AW151" s="17" t="n">
        <v>-0.3530334023081934</v>
      </c>
      <c r="AX151" t="inlineStr">
        <is>
          <t>33cr</t>
        </is>
      </c>
      <c r="AY151" s="26" t="n">
        <v>1.102758424483957</v>
      </c>
      <c r="AZ151" s="26" t="n">
        <v>1.288998876259128</v>
      </c>
      <c r="BA151" s="26" t="n">
        <v>0.5720220802802798</v>
      </c>
      <c r="BB151" s="28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</row>
    <row r="152">
      <c r="A152" s="6" t="inlineStr">
        <is>
          <t>Bajaj Finserv Multi Cap Fund</t>
        </is>
      </c>
      <c r="B152" s="6" t="inlineStr">
        <is>
          <t>multi cap</t>
        </is>
      </c>
      <c r="C152" s="6" t="inlineStr">
        <is>
          <t>NIFTY 500 Multicap 50:25:25 Total Return Index</t>
        </is>
      </c>
      <c r="D152" s="6" t="inlineStr">
        <is>
          <t>Very High</t>
        </is>
      </c>
      <c r="E152" s="6" t="inlineStr">
        <is>
          <t>Very High</t>
        </is>
      </c>
      <c r="F152" s="14" t="n">
        <v>46023</v>
      </c>
      <c r="G152" s="6" t="n">
        <v>11.533</v>
      </c>
      <c r="H152" s="6" t="n">
        <v>11.689</v>
      </c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>
        <v>1115.24</v>
      </c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inlineStr">
        <is>
          <t>Equity Scheme - Multi Cap Fund</t>
        </is>
      </c>
      <c r="AM152" s="6" t="n">
        <v>2.02</v>
      </c>
      <c r="AN152" s="6" t="n">
        <v>0</v>
      </c>
      <c r="AO152" s="6" t="n">
        <v>0.05</v>
      </c>
      <c r="AP152" s="6" t="n">
        <v>0.11</v>
      </c>
      <c r="AQ152" s="6" t="n">
        <v>2.18</v>
      </c>
      <c r="AR152" s="6" t="n">
        <v>0.65</v>
      </c>
      <c r="AS152" s="6" t="n">
        <v>0</v>
      </c>
      <c r="AT152" s="6" t="n">
        <v>0.05</v>
      </c>
      <c r="AU152" s="6" t="n">
        <v>0.11</v>
      </c>
      <c r="AV152" s="6" t="n">
        <v>0.8100000000000001</v>
      </c>
      <c r="AW152" s="17" t="n">
        <v>-4.052939277644279</v>
      </c>
      <c r="AX152" t="inlineStr">
        <is>
          <t>45cr</t>
        </is>
      </c>
      <c r="AY152" s="26" t="n">
        <v>1.52636583528427</v>
      </c>
      <c r="AZ152" s="26" t="n">
        <v>1.288998876259128</v>
      </c>
      <c r="BA152" s="26" t="n">
        <v>0.5334282188123554</v>
      </c>
      <c r="BB152" s="28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</row>
    <row r="153">
      <c r="A153" s="6" t="inlineStr">
        <is>
          <t>Baroda BNP Paribas Multi Cap Fund</t>
        </is>
      </c>
      <c r="B153" s="6" t="inlineStr">
        <is>
          <t>multi cap</t>
        </is>
      </c>
      <c r="C153" s="6" t="inlineStr">
        <is>
          <t>NIFTY 500 Multicap 50:25:25 Total Return Index</t>
        </is>
      </c>
      <c r="D153" s="6" t="inlineStr">
        <is>
          <t>Very High</t>
        </is>
      </c>
      <c r="E153" s="6" t="inlineStr">
        <is>
          <t>Very High</t>
        </is>
      </c>
      <c r="F153" s="14" t="n">
        <v>46023</v>
      </c>
      <c r="G153" s="6" t="n">
        <v>289.0556</v>
      </c>
      <c r="H153" s="6" t="n">
        <v>325.9734</v>
      </c>
      <c r="I153" s="6" t="n">
        <v>-1.8401948</v>
      </c>
      <c r="J153" s="6" t="n">
        <v>-6.7011118</v>
      </c>
      <c r="K153" s="6" t="n">
        <v>4.860917</v>
      </c>
      <c r="L153" s="6" t="n">
        <v>20.032024</v>
      </c>
      <c r="M153" s="6" t="n">
        <v>1.142472999999999</v>
      </c>
      <c r="N153" s="6" t="n">
        <v>18.889551</v>
      </c>
      <c r="O153" s="6" t="n">
        <v>20.337337</v>
      </c>
      <c r="P153" s="6" t="n">
        <v>1.058176000000003</v>
      </c>
      <c r="Q153" s="6" t="n">
        <v>19.279161</v>
      </c>
      <c r="R153" s="6" t="n">
        <v>15.476569</v>
      </c>
      <c r="S153" s="6" t="n">
        <v>0.06514699999999962</v>
      </c>
      <c r="T153" s="6" t="n">
        <v>15.411422</v>
      </c>
      <c r="U153" s="6" t="n">
        <v>15.342646</v>
      </c>
      <c r="V153" s="6" t="n">
        <v>3149.71</v>
      </c>
      <c r="W153" s="6" t="n">
        <v>-1.758138855840825</v>
      </c>
      <c r="X153" s="6" t="n">
        <v>-2.032137010204198</v>
      </c>
      <c r="Y153" s="6" t="n">
        <v>0.0059238885417249</v>
      </c>
      <c r="Z153" s="6" t="n">
        <v>-0.2213914102936785</v>
      </c>
      <c r="AA153" s="6" t="n">
        <v>0.2604896665983324</v>
      </c>
      <c r="AB153" s="6" t="n">
        <v>-0.01770217766294977</v>
      </c>
      <c r="AC153" s="6" t="n">
        <v>0.23918650545376</v>
      </c>
      <c r="AD153" s="6" t="n">
        <v>-0.02573922850819435</v>
      </c>
      <c r="AE153" s="6" t="n">
        <v>-2.8575556</v>
      </c>
      <c r="AF153" s="6" t="n">
        <v>14.409732</v>
      </c>
      <c r="AG153" s="6" t="n">
        <v>18.797455</v>
      </c>
      <c r="AH153" s="6" t="n">
        <v>19.142136</v>
      </c>
      <c r="AI153" s="6" t="n"/>
      <c r="AJ153" s="6" t="n">
        <v>15.684263</v>
      </c>
      <c r="AK153" s="6" t="n">
        <v>16.266487</v>
      </c>
      <c r="AL153" s="6" t="inlineStr">
        <is>
          <t>Equity Scheme - Multi Cap Fund</t>
        </is>
      </c>
      <c r="AM153" s="6" t="n">
        <v>1.79</v>
      </c>
      <c r="AN153" s="6" t="n">
        <v>0</v>
      </c>
      <c r="AO153" s="6" t="n">
        <v>0.05</v>
      </c>
      <c r="AP153" s="6" t="n">
        <v>0.12</v>
      </c>
      <c r="AQ153" s="6" t="n">
        <v>1.96</v>
      </c>
      <c r="AR153" s="6" t="n">
        <v>0.73</v>
      </c>
      <c r="AS153" s="6" t="n">
        <v>0</v>
      </c>
      <c r="AT153" s="6" t="n">
        <v>0.05</v>
      </c>
      <c r="AU153" s="6" t="n">
        <v>0.12</v>
      </c>
      <c r="AV153" s="6" t="n">
        <v>0.9</v>
      </c>
      <c r="AW153" s="17" t="n">
        <v>-0.05968803477145861</v>
      </c>
      <c r="AX153" t="inlineStr">
        <is>
          <t>2cr</t>
        </is>
      </c>
      <c r="AY153" s="26" t="n">
        <v>1.161536870514871</v>
      </c>
      <c r="AZ153" s="26" t="n">
        <v>1.288998876259128</v>
      </c>
      <c r="BA153" s="26" t="n">
        <v>0.5458875427799154</v>
      </c>
      <c r="BB153" s="28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</v>
      </c>
    </row>
    <row r="154">
      <c r="A154" s="6" t="inlineStr">
        <is>
          <t>Canara Robeco Multi Cap Fund</t>
        </is>
      </c>
      <c r="B154" s="6" t="inlineStr">
        <is>
          <t>multi cap</t>
        </is>
      </c>
      <c r="C154" s="6" t="inlineStr">
        <is>
          <t>NIFTY 500 Multicap 50:25:25 Total Return Index</t>
        </is>
      </c>
      <c r="D154" s="6" t="inlineStr">
        <is>
          <t>Very High</t>
        </is>
      </c>
      <c r="E154" s="6" t="inlineStr">
        <is>
          <t>Very High</t>
        </is>
      </c>
      <c r="F154" s="14" t="n">
        <v>46023</v>
      </c>
      <c r="G154" s="6" t="n">
        <v>14.91</v>
      </c>
      <c r="H154" s="6" t="n">
        <v>15.45</v>
      </c>
      <c r="I154" s="6" t="n">
        <v>6.039808</v>
      </c>
      <c r="J154" s="6" t="n">
        <v>1.178891</v>
      </c>
      <c r="K154" s="6" t="n">
        <v>4.860917</v>
      </c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>
        <v>19.579412</v>
      </c>
      <c r="V154" s="6" t="n">
        <v>5169.14</v>
      </c>
      <c r="W154" s="6" t="n">
        <v>0.3854658741269706</v>
      </c>
      <c r="X154" s="6" t="n">
        <v>-0.143667619115958</v>
      </c>
      <c r="Y154" s="6" t="n"/>
      <c r="Z154" s="6" t="n"/>
      <c r="AA154" s="6" t="n"/>
      <c r="AB154" s="6" t="n"/>
      <c r="AC154" s="6" t="n"/>
      <c r="AD154" s="6" t="n"/>
      <c r="AE154" s="6" t="n">
        <v>4.5582047</v>
      </c>
      <c r="AF154" s="6" t="n"/>
      <c r="AG154" s="6" t="n"/>
      <c r="AH154" s="6" t="n"/>
      <c r="AI154" s="6" t="n">
        <v>17.705698</v>
      </c>
      <c r="AJ154" s="6" t="n">
        <v>17.705698</v>
      </c>
      <c r="AK154" s="6" t="n">
        <v>17.843481</v>
      </c>
      <c r="AL154" s="6" t="inlineStr">
        <is>
          <t>Equity Scheme - Multi Cap Fund</t>
        </is>
      </c>
      <c r="AM154" s="6" t="n">
        <v>1.72</v>
      </c>
      <c r="AN154" s="6" t="n">
        <v>0</v>
      </c>
      <c r="AO154" s="6" t="n">
        <v>0.05</v>
      </c>
      <c r="AP154" s="6" t="n">
        <v>0.06</v>
      </c>
      <c r="AQ154" s="6" t="n">
        <v>1.83</v>
      </c>
      <c r="AR154" s="6" t="n">
        <v>0.36</v>
      </c>
      <c r="AS154" s="6" t="n">
        <v>0</v>
      </c>
      <c r="AT154" s="6" t="n">
        <v>0.05</v>
      </c>
      <c r="AU154" s="6" t="n">
        <v>0.06</v>
      </c>
      <c r="AV154" s="6" t="n">
        <v>0.47</v>
      </c>
      <c r="AW154" s="17" t="n">
        <v>-2.308701253980355</v>
      </c>
      <c r="AX154" t="inlineStr">
        <is>
          <t>119cr</t>
        </is>
      </c>
      <c r="AY154" s="26" t="n">
        <v>1.116346050976862</v>
      </c>
      <c r="AZ154" s="26" t="n">
        <v>1.288998876259128</v>
      </c>
      <c r="BA154" s="26" t="n">
        <v>0.4782708526368176</v>
      </c>
      <c r="BB154" s="28" t="n">
        <v>4</v>
      </c>
      <c r="BC154" t="n">
        <v>1</v>
      </c>
      <c r="BD154" t="n">
        <v>0</v>
      </c>
      <c r="BE154" t="n">
        <v>1</v>
      </c>
      <c r="BF154" t="n">
        <v>1</v>
      </c>
      <c r="BG154" t="n">
        <v>0</v>
      </c>
      <c r="BH154" t="n">
        <v>1</v>
      </c>
    </row>
    <row r="155">
      <c r="A155" s="6" t="inlineStr">
        <is>
          <t>Edelweiss Multi Cap Fund</t>
        </is>
      </c>
      <c r="B155" s="6" t="inlineStr">
        <is>
          <t>multi cap</t>
        </is>
      </c>
      <c r="C155" s="6" t="inlineStr">
        <is>
          <t>NIFTY 500 Multicap 50:25:25 Total Return Index</t>
        </is>
      </c>
      <c r="D155" s="6" t="inlineStr">
        <is>
          <t>Very High</t>
        </is>
      </c>
      <c r="E155" s="6" t="inlineStr">
        <is>
          <t>Very High</t>
        </is>
      </c>
      <c r="F155" s="14" t="n">
        <v>46023</v>
      </c>
      <c r="G155" s="6" t="n">
        <v>15.4046</v>
      </c>
      <c r="H155" s="6" t="n">
        <v>15.9466</v>
      </c>
      <c r="I155" s="6" t="n">
        <v>3.07747</v>
      </c>
      <c r="J155" s="6" t="n">
        <v>-1.783447</v>
      </c>
      <c r="K155" s="6" t="n">
        <v>4.860917</v>
      </c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>
        <v>23.760784</v>
      </c>
      <c r="V155" s="6" t="n">
        <v>3181.15</v>
      </c>
      <c r="W155" s="6" t="n">
        <v>-0.6383668644520664</v>
      </c>
      <c r="X155" s="6" t="n">
        <v>-1.202726229803945</v>
      </c>
      <c r="Y155" s="6" t="n"/>
      <c r="Z155" s="6" t="n"/>
      <c r="AA155" s="6" t="n"/>
      <c r="AB155" s="6" t="n"/>
      <c r="AC155" s="6" t="n"/>
      <c r="AD155" s="6" t="n"/>
      <c r="AE155" s="6" t="n">
        <v>1.532418</v>
      </c>
      <c r="AF155" s="6" t="n"/>
      <c r="AG155" s="6" t="n"/>
      <c r="AH155" s="6" t="n"/>
      <c r="AI155" s="6" t="n">
        <v>19.225779</v>
      </c>
      <c r="AJ155" s="6" t="n">
        <v>19.225779</v>
      </c>
      <c r="AK155" s="6" t="n">
        <v>21.82114</v>
      </c>
      <c r="AL155" s="6" t="inlineStr">
        <is>
          <t>Equity Scheme - Multi Cap Fund</t>
        </is>
      </c>
      <c r="AM155" s="6" t="n">
        <v>1.79</v>
      </c>
      <c r="AN155" s="6" t="n">
        <v>0</v>
      </c>
      <c r="AO155" s="6" t="n">
        <v>0.05</v>
      </c>
      <c r="AP155" s="6" t="n">
        <v>0.06</v>
      </c>
      <c r="AQ155" s="6" t="n">
        <v>1.9</v>
      </c>
      <c r="AR155" s="6" t="n">
        <v>0.34</v>
      </c>
      <c r="AS155" s="6" t="n">
        <v>0</v>
      </c>
      <c r="AT155" s="6" t="n">
        <v>0.05</v>
      </c>
      <c r="AU155" s="6" t="n">
        <v>0.06</v>
      </c>
      <c r="AV155" s="6" t="n">
        <v>0.45</v>
      </c>
      <c r="AW155" s="17" t="n">
        <v>-0.855351052292411</v>
      </c>
      <c r="AX155" t="inlineStr">
        <is>
          <t>27cr</t>
        </is>
      </c>
      <c r="AY155" s="26" t="n">
        <v>1.340251250642522</v>
      </c>
      <c r="AZ155" s="26" t="n">
        <v>1.288998876259128</v>
      </c>
      <c r="BA155" s="26" t="n">
        <v>0.5527640348647782</v>
      </c>
      <c r="BB155" s="28" t="n">
        <v>1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</row>
    <row r="156">
      <c r="A156" s="6" t="inlineStr">
        <is>
          <t>Franklin India Multi Cap Fund</t>
        </is>
      </c>
      <c r="B156" s="6" t="inlineStr">
        <is>
          <t>multi cap</t>
        </is>
      </c>
      <c r="C156" s="6" t="inlineStr">
        <is>
          <t>NIFTY 500 Multicap 50:25:25 Total Return Index</t>
        </is>
      </c>
      <c r="D156" s="6" t="inlineStr">
        <is>
          <t>Very High</t>
        </is>
      </c>
      <c r="E156" s="6" t="inlineStr">
        <is>
          <t>Very High</t>
        </is>
      </c>
      <c r="F156" s="14" t="n">
        <v>46023</v>
      </c>
      <c r="G156" s="6" t="n">
        <v>10.6601</v>
      </c>
      <c r="H156" s="6" t="n">
        <v>10.8878</v>
      </c>
      <c r="I156" s="6" t="n">
        <v>6.2162213</v>
      </c>
      <c r="J156" s="6" t="n">
        <v>1.3553043</v>
      </c>
      <c r="K156" s="6" t="n">
        <v>4.860917</v>
      </c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>
        <v>6.140069</v>
      </c>
      <c r="V156" s="6" t="n">
        <v>5079.35</v>
      </c>
      <c r="W156" s="6" t="n">
        <v>0.3583306789245828</v>
      </c>
      <c r="X156" s="6" t="n">
        <v>-0.04094456077067338</v>
      </c>
      <c r="Y156" s="6" t="n"/>
      <c r="Z156" s="6" t="n"/>
      <c r="AA156" s="6" t="n"/>
      <c r="AB156" s="6" t="n"/>
      <c r="AC156" s="6" t="n"/>
      <c r="AD156" s="6" t="n"/>
      <c r="AE156" s="6" t="n">
        <v>4.686288</v>
      </c>
      <c r="AF156" s="6" t="n"/>
      <c r="AG156" s="6" t="n"/>
      <c r="AH156" s="6" t="n"/>
      <c r="AI156" s="6" t="n">
        <v>1.5057846</v>
      </c>
      <c r="AJ156" s="6" t="n">
        <v>1.5057846</v>
      </c>
      <c r="AK156" s="6" t="n">
        <v>4.5800586</v>
      </c>
      <c r="AL156" s="6" t="inlineStr">
        <is>
          <t>Equity Scheme - Multi Cap Fund</t>
        </is>
      </c>
      <c r="AM156" s="6" t="n">
        <v>1.73</v>
      </c>
      <c r="AN156" s="6" t="n">
        <v>0</v>
      </c>
      <c r="AO156" s="6" t="n">
        <v>0.05</v>
      </c>
      <c r="AP156" s="6" t="n">
        <v>0.06</v>
      </c>
      <c r="AQ156" s="6" t="n">
        <v>1.84</v>
      </c>
      <c r="AR156" s="6" t="n">
        <v>0.41</v>
      </c>
      <c r="AS156" s="6" t="n">
        <v>0</v>
      </c>
      <c r="AT156" s="6" t="n">
        <v>0.05</v>
      </c>
      <c r="AU156" s="6" t="n">
        <v>0.06</v>
      </c>
      <c r="AV156" s="6" t="n">
        <v>0.52</v>
      </c>
      <c r="AW156" s="17" t="n">
        <v>1.746877061041266</v>
      </c>
      <c r="AX156" s="18" t="inlineStr">
        <is>
          <t>-89cr</t>
        </is>
      </c>
      <c r="AY156" s="26" t="n">
        <v>1.260837528460337</v>
      </c>
      <c r="AZ156" s="26" t="n">
        <v>1.288998876259128</v>
      </c>
      <c r="BA156" s="26" t="n">
        <v>0.5690677440890992</v>
      </c>
      <c r="BB156" s="28" t="n">
        <v>5</v>
      </c>
      <c r="BC156" t="n">
        <v>1</v>
      </c>
      <c r="BD156" t="n">
        <v>1</v>
      </c>
      <c r="BE156" t="n">
        <v>1</v>
      </c>
      <c r="BF156" t="n">
        <v>1</v>
      </c>
      <c r="BG156" t="n">
        <v>0</v>
      </c>
      <c r="BH156" t="n">
        <v>1</v>
      </c>
    </row>
    <row r="157">
      <c r="A157" s="6" t="inlineStr">
        <is>
          <t>Groww Multicap Fund</t>
        </is>
      </c>
      <c r="B157" s="6" t="inlineStr">
        <is>
          <t>multi cap</t>
        </is>
      </c>
      <c r="C157" s="6" t="inlineStr">
        <is>
          <t>NIFTY 500 Multicap 50:25:25 Total Return Index</t>
        </is>
      </c>
      <c r="D157" s="6" t="inlineStr">
        <is>
          <t>Very High</t>
        </is>
      </c>
      <c r="E157" s="6" t="inlineStr">
        <is>
          <t>Very High</t>
        </is>
      </c>
      <c r="F157" s="14" t="n">
        <v>46023</v>
      </c>
      <c r="G157" s="6" t="n">
        <v>10.652</v>
      </c>
      <c r="H157" s="6" t="n">
        <v>10.8589</v>
      </c>
      <c r="I157" s="6" t="n">
        <v>8.861153</v>
      </c>
      <c r="J157" s="6" t="n">
        <v>4.000236</v>
      </c>
      <c r="K157" s="6" t="n">
        <v>4.860917</v>
      </c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>
        <v>8.213892</v>
      </c>
      <c r="V157" s="6" t="n">
        <v>315.41</v>
      </c>
      <c r="W157" s="6" t="n">
        <v>0.8828386709590409</v>
      </c>
      <c r="X157" s="6" t="n">
        <v>0.4368436248483433</v>
      </c>
      <c r="Y157" s="6" t="n"/>
      <c r="Z157" s="6" t="n"/>
      <c r="AA157" s="6" t="n"/>
      <c r="AB157" s="6" t="n"/>
      <c r="AC157" s="6" t="n"/>
      <c r="AD157" s="6" t="n"/>
      <c r="AE157" s="6" t="n">
        <v>6.8791137</v>
      </c>
      <c r="AF157" s="6" t="n"/>
      <c r="AG157" s="6" t="n"/>
      <c r="AH157" s="6" t="n"/>
      <c r="AI157" s="6" t="n">
        <v>1.2506149</v>
      </c>
      <c r="AJ157" s="6" t="n">
        <v>1.2506149</v>
      </c>
      <c r="AK157" s="6" t="n">
        <v>6.2378306</v>
      </c>
      <c r="AL157" s="6" t="inlineStr">
        <is>
          <t>Equity Scheme - Multi Cap Fund</t>
        </is>
      </c>
      <c r="AM157" s="6" t="n">
        <v>2.25</v>
      </c>
      <c r="AN157" s="6" t="n">
        <v>0</v>
      </c>
      <c r="AO157" s="6" t="n">
        <v>0.05</v>
      </c>
      <c r="AP157" s="6" t="n">
        <v>0</v>
      </c>
      <c r="AQ157" s="6" t="n">
        <v>2.3</v>
      </c>
      <c r="AR157" s="6" t="n">
        <v>0.4</v>
      </c>
      <c r="AS157" s="6" t="n">
        <v>0</v>
      </c>
      <c r="AT157" s="6" t="n">
        <v>0.05</v>
      </c>
      <c r="AU157" s="6" t="n">
        <v>0</v>
      </c>
      <c r="AV157" s="6" t="n">
        <v>0.45</v>
      </c>
      <c r="AW157" s="17" t="n">
        <v>-9.375099077391347</v>
      </c>
      <c r="AX157" t="inlineStr">
        <is>
          <t>30cr</t>
        </is>
      </c>
      <c r="AY157" s="26" t="n">
        <v>1.170805498885303</v>
      </c>
      <c r="AZ157" s="26" t="n">
        <v>1.288998876259128</v>
      </c>
      <c r="BA157" s="26" t="n">
        <v>0.4946872488424735</v>
      </c>
      <c r="BB157" s="28" t="n">
        <v>4</v>
      </c>
      <c r="BC157" t="n">
        <v>1</v>
      </c>
      <c r="BD157" t="n">
        <v>0</v>
      </c>
      <c r="BE157" t="n">
        <v>1</v>
      </c>
      <c r="BF157" t="n">
        <v>1</v>
      </c>
      <c r="BG157" t="n">
        <v>0</v>
      </c>
      <c r="BH157" t="n">
        <v>1</v>
      </c>
    </row>
    <row r="158">
      <c r="A158" s="6" t="inlineStr">
        <is>
          <t>HSBC Multi Cap Fund</t>
        </is>
      </c>
      <c r="B158" s="6" t="inlineStr">
        <is>
          <t>multi cap</t>
        </is>
      </c>
      <c r="C158" s="6" t="inlineStr">
        <is>
          <t>NIFTY 500 Multicap 50:25:25 Total Return Index</t>
        </is>
      </c>
      <c r="D158" s="6" t="inlineStr">
        <is>
          <t>Very High</t>
        </is>
      </c>
      <c r="E158" s="6" t="inlineStr">
        <is>
          <t>Very High</t>
        </is>
      </c>
      <c r="F158" s="14" t="n">
        <v>46023</v>
      </c>
      <c r="G158" s="6" t="n">
        <v>18.9922</v>
      </c>
      <c r="H158" s="6" t="n">
        <v>19.735</v>
      </c>
      <c r="I158" s="6" t="n">
        <v>1.8212775</v>
      </c>
      <c r="J158" s="6" t="n">
        <v>-3.0396395</v>
      </c>
      <c r="K158" s="6" t="n">
        <v>4.860917</v>
      </c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>
        <v>26.18127</v>
      </c>
      <c r="V158" s="6" t="n">
        <v>5312.88</v>
      </c>
      <c r="W158" s="6" t="n">
        <v>-0.8126231330779915</v>
      </c>
      <c r="X158" s="6" t="n">
        <v>-1.192212127961504</v>
      </c>
      <c r="Y158" s="6" t="n"/>
      <c r="Z158" s="6" t="n"/>
      <c r="AA158" s="6" t="n"/>
      <c r="AB158" s="6" t="n"/>
      <c r="AC158" s="6" t="n"/>
      <c r="AD158" s="6" t="n"/>
      <c r="AE158" s="6" t="n">
        <v>0.5420914999999999</v>
      </c>
      <c r="AF158" s="6" t="n"/>
      <c r="AG158" s="6" t="n"/>
      <c r="AH158" s="6" t="n"/>
      <c r="AI158" s="6" t="n">
        <v>21.18549</v>
      </c>
      <c r="AJ158" s="6" t="n">
        <v>21.18549</v>
      </c>
      <c r="AK158" s="6" t="n">
        <v>24.536081</v>
      </c>
      <c r="AL158" s="6" t="inlineStr">
        <is>
          <t>Equity Scheme - Multi Cap Fund</t>
        </is>
      </c>
      <c r="AM158" s="6" t="n">
        <v>1.71</v>
      </c>
      <c r="AN158" s="6" t="n">
        <v>0</v>
      </c>
      <c r="AO158" s="6" t="n">
        <v>0.05</v>
      </c>
      <c r="AP158" s="6" t="n">
        <v>0.08</v>
      </c>
      <c r="AQ158" s="6" t="n">
        <v>1.84</v>
      </c>
      <c r="AR158" s="6" t="n">
        <v>0.48</v>
      </c>
      <c r="AS158" s="6" t="n">
        <v>0</v>
      </c>
      <c r="AT158" s="6" t="n">
        <v>0.05</v>
      </c>
      <c r="AU158" s="6" t="n">
        <v>0.08</v>
      </c>
      <c r="AV158" s="6" t="n">
        <v>0.61</v>
      </c>
      <c r="AW158" s="17" t="n">
        <v>0.532479559109183</v>
      </c>
      <c r="AX158" s="18" t="inlineStr">
        <is>
          <t>-28cr</t>
        </is>
      </c>
      <c r="AY158" s="26" t="n">
        <v>1.129435950119406</v>
      </c>
      <c r="AZ158" s="26" t="n">
        <v>1.288998876259128</v>
      </c>
      <c r="BA158" s="26" t="n">
        <v>0.5879600418852206</v>
      </c>
      <c r="BB158" s="28" t="n">
        <v>3</v>
      </c>
      <c r="BC158" t="n">
        <v>0</v>
      </c>
      <c r="BD158" t="n">
        <v>1</v>
      </c>
      <c r="BE158" t="n">
        <v>1</v>
      </c>
      <c r="BF158" t="n">
        <v>0</v>
      </c>
      <c r="BG158" t="n">
        <v>0</v>
      </c>
      <c r="BH158" t="n">
        <v>1</v>
      </c>
    </row>
    <row r="159">
      <c r="A159" s="6" t="inlineStr">
        <is>
          <t>ICICI Prudential Multicap Fund</t>
        </is>
      </c>
      <c r="B159" s="6" t="inlineStr">
        <is>
          <t>multi cap</t>
        </is>
      </c>
      <c r="C159" s="6" t="inlineStr">
        <is>
          <t>NIFTY 500 Multicap 50:25:25 Total Return Index</t>
        </is>
      </c>
      <c r="D159" s="6" t="inlineStr">
        <is>
          <t>Very High</t>
        </is>
      </c>
      <c r="E159" s="6" t="inlineStr">
        <is>
          <t>Very High</t>
        </is>
      </c>
      <c r="F159" s="14" t="n">
        <v>46023</v>
      </c>
      <c r="G159" s="6" t="n">
        <v>808.66</v>
      </c>
      <c r="H159" s="6" t="n">
        <v>905.66</v>
      </c>
      <c r="I159" s="6" t="n">
        <v>6.4417934</v>
      </c>
      <c r="J159" s="6" t="n">
        <v>1.5808764</v>
      </c>
      <c r="K159" s="6" t="n">
        <v>4.860917</v>
      </c>
      <c r="L159" s="6" t="n">
        <v>21.033205</v>
      </c>
      <c r="M159" s="6" t="n">
        <v>2.143653999999998</v>
      </c>
      <c r="N159" s="6" t="n">
        <v>18.889551</v>
      </c>
      <c r="O159" s="6" t="n">
        <v>20.747162</v>
      </c>
      <c r="P159" s="6" t="n">
        <v>1.468001000000001</v>
      </c>
      <c r="Q159" s="6" t="n">
        <v>19.279161</v>
      </c>
      <c r="R159" s="6" t="n">
        <v>16.034422</v>
      </c>
      <c r="S159" s="6" t="n">
        <v>0.6229999999999993</v>
      </c>
      <c r="T159" s="6" t="n">
        <v>15.411422</v>
      </c>
      <c r="U159" s="6" t="n">
        <v>16.599918</v>
      </c>
      <c r="V159" s="6" t="n">
        <v>16320</v>
      </c>
      <c r="W159" s="6" t="n">
        <v>0.3206448736617317</v>
      </c>
      <c r="X159" s="6" t="n">
        <v>0.104448465302355</v>
      </c>
      <c r="Y159" s="6" t="n">
        <v>0.07645824448976582</v>
      </c>
      <c r="Z159" s="6" t="n">
        <v>-0.125549916610793</v>
      </c>
      <c r="AA159" s="6" t="n">
        <v>0.4201247765074743</v>
      </c>
      <c r="AB159" s="6" t="n">
        <v>0.192448876213066</v>
      </c>
      <c r="AC159" s="6" t="n">
        <v>0.2632008646246047</v>
      </c>
      <c r="AD159" s="6" t="n">
        <v>0.03723341192126793</v>
      </c>
      <c r="AE159" s="6" t="n">
        <v>5.5995193</v>
      </c>
      <c r="AF159" s="6" t="n">
        <v>14.940827</v>
      </c>
      <c r="AG159" s="6" t="n">
        <v>20.05501</v>
      </c>
      <c r="AH159" s="6" t="n">
        <v>19.725708</v>
      </c>
      <c r="AI159" s="6" t="n"/>
      <c r="AJ159" s="6" t="n">
        <v>15.743104</v>
      </c>
      <c r="AK159" s="6" t="n">
        <v>15.080493</v>
      </c>
      <c r="AL159" s="6" t="inlineStr">
        <is>
          <t>Equity Scheme - Multi Cap Fund</t>
        </is>
      </c>
      <c r="AM159" s="6" t="n">
        <v>1.55</v>
      </c>
      <c r="AN159" s="6" t="n">
        <v>0</v>
      </c>
      <c r="AO159" s="6" t="n">
        <v>0.05</v>
      </c>
      <c r="AP159" s="6" t="n">
        <v>0.13</v>
      </c>
      <c r="AQ159" s="6" t="n">
        <v>1.73</v>
      </c>
      <c r="AR159" s="6" t="n">
        <v>0.76</v>
      </c>
      <c r="AS159" s="6" t="n">
        <v>0</v>
      </c>
      <c r="AT159" s="6" t="n">
        <v>0.05</v>
      </c>
      <c r="AU159" s="6" t="n">
        <v>0.13</v>
      </c>
      <c r="AV159" s="6" t="n">
        <v>0.9399999999999999</v>
      </c>
      <c r="AW159" s="17" t="n">
        <v>-1.241482843137258</v>
      </c>
      <c r="AX159" t="inlineStr">
        <is>
          <t>203cr</t>
        </is>
      </c>
      <c r="AY159" s="26" t="n">
        <v>1.163495114829657</v>
      </c>
      <c r="AZ159" s="26" t="n">
        <v>1.288998876259128</v>
      </c>
      <c r="BA159" s="26" t="n">
        <v>0.5683369945263972</v>
      </c>
      <c r="BB159" s="28" t="n">
        <v>3</v>
      </c>
      <c r="BC159" t="n">
        <v>1</v>
      </c>
      <c r="BD159" t="n">
        <v>0</v>
      </c>
      <c r="BE159" t="n">
        <v>0</v>
      </c>
      <c r="BF159" t="n">
        <v>1</v>
      </c>
      <c r="BG159" t="n">
        <v>0</v>
      </c>
      <c r="BH159" t="n">
        <v>1</v>
      </c>
    </row>
    <row r="160">
      <c r="A160" s="6" t="inlineStr">
        <is>
          <t>Invesco India Multicap Fund</t>
        </is>
      </c>
      <c r="B160" s="6" t="inlineStr">
        <is>
          <t>multi cap</t>
        </is>
      </c>
      <c r="C160" s="6" t="inlineStr">
        <is>
          <t>NIFTY 500 Multicap 50:25:25 Total Return Index</t>
        </is>
      </c>
      <c r="D160" s="6" t="inlineStr">
        <is>
          <t>Very High</t>
        </is>
      </c>
      <c r="E160" s="6" t="inlineStr">
        <is>
          <t>Very High</t>
        </is>
      </c>
      <c r="F160" s="14" t="n">
        <v>46023</v>
      </c>
      <c r="G160" s="6" t="n">
        <v>126.92</v>
      </c>
      <c r="H160" s="6" t="n">
        <v>151.82</v>
      </c>
      <c r="I160" s="6" t="n">
        <v>-5.8422227</v>
      </c>
      <c r="J160" s="6" t="n">
        <v>-10.7031397</v>
      </c>
      <c r="K160" s="6" t="n">
        <v>4.860917</v>
      </c>
      <c r="L160" s="6" t="n">
        <v>18.38798</v>
      </c>
      <c r="M160" s="6" t="n">
        <v>-0.501571000000002</v>
      </c>
      <c r="N160" s="6" t="n">
        <v>18.889551</v>
      </c>
      <c r="O160" s="6" t="n">
        <v>18.501253</v>
      </c>
      <c r="P160" s="6" t="n">
        <v>-0.777908</v>
      </c>
      <c r="Q160" s="6" t="n">
        <v>19.279161</v>
      </c>
      <c r="R160" s="6" t="n">
        <v>14.964654</v>
      </c>
      <c r="S160" s="6" t="n">
        <v>-0.4467680000000005</v>
      </c>
      <c r="T160" s="6" t="n">
        <v>15.411422</v>
      </c>
      <c r="U160" s="6" t="n">
        <v>17.871767</v>
      </c>
      <c r="V160" s="6" t="n">
        <v>4139.55</v>
      </c>
      <c r="W160" s="6" t="n">
        <v>-2.497810183107896</v>
      </c>
      <c r="X160" s="6" t="n">
        <v>-2.776645992341372</v>
      </c>
      <c r="Y160" s="6" t="n">
        <v>-0.08925688045100238</v>
      </c>
      <c r="Z160" s="6" t="n">
        <v>-0.3867536035822416</v>
      </c>
      <c r="AA160" s="6" t="n">
        <v>-0.09444594218028454</v>
      </c>
      <c r="AB160" s="6" t="n">
        <v>-0.3978908922641923</v>
      </c>
      <c r="AC160" s="6" t="n">
        <v>-0.1522492759856229</v>
      </c>
      <c r="AD160" s="6" t="n">
        <v>-0.4432628244305635</v>
      </c>
      <c r="AE160" s="6" t="n">
        <v>-6.9637885</v>
      </c>
      <c r="AF160" s="6" t="n">
        <v>13.34789</v>
      </c>
      <c r="AG160" s="6" t="n">
        <v>16.918005</v>
      </c>
      <c r="AH160" s="6" t="n">
        <v>16.977674</v>
      </c>
      <c r="AI160" s="6" t="n">
        <v>13.855431</v>
      </c>
      <c r="AJ160" s="6" t="n">
        <v>15.684263</v>
      </c>
      <c r="AK160" s="6" t="n">
        <v>15.339215</v>
      </c>
      <c r="AL160" s="6" t="inlineStr">
        <is>
          <t>Equity Scheme - Multi Cap Fund</t>
        </is>
      </c>
      <c r="AM160" s="6" t="n">
        <v>1.75</v>
      </c>
      <c r="AN160" s="6" t="n">
        <v>0</v>
      </c>
      <c r="AO160" s="6" t="n">
        <v>0.05</v>
      </c>
      <c r="AP160" s="6" t="n">
        <v>0.09</v>
      </c>
      <c r="AQ160" s="6" t="n">
        <v>1.89</v>
      </c>
      <c r="AR160" s="6" t="n">
        <v>0.55</v>
      </c>
      <c r="AS160" s="6" t="n">
        <v>0</v>
      </c>
      <c r="AT160" s="6" t="n">
        <v>0.05</v>
      </c>
      <c r="AU160" s="6" t="n">
        <v>0.09</v>
      </c>
      <c r="AV160" s="6" t="n">
        <v>0.6899999999999999</v>
      </c>
      <c r="AW160" s="17" t="n">
        <v>2.665748692490716</v>
      </c>
      <c r="AX160" s="18" t="inlineStr">
        <is>
          <t>-110cr</t>
        </is>
      </c>
      <c r="AY160" s="26" t="n">
        <v>1.432594641220163</v>
      </c>
      <c r="AZ160" s="26" t="n">
        <v>1.288998876259128</v>
      </c>
      <c r="BA160" s="26" t="n">
        <v>0.6427376527281565</v>
      </c>
      <c r="BB160" s="28" t="n">
        <v>1</v>
      </c>
      <c r="BC160" t="n">
        <v>0</v>
      </c>
      <c r="BD160" t="n">
        <v>1</v>
      </c>
      <c r="BE160" t="n">
        <v>0</v>
      </c>
      <c r="BF160" t="n">
        <v>0</v>
      </c>
      <c r="BG160" t="n">
        <v>0</v>
      </c>
      <c r="BH160" t="n">
        <v>0</v>
      </c>
    </row>
    <row r="161">
      <c r="A161" s="6" t="inlineStr">
        <is>
          <t>ITI Multi Cap Fund</t>
        </is>
      </c>
      <c r="B161" s="6" t="inlineStr">
        <is>
          <t>multi cap</t>
        </is>
      </c>
      <c r="C161" s="6" t="inlineStr">
        <is>
          <t>NIFTY 500 Multicap 50:25:25 Total Return Index</t>
        </is>
      </c>
      <c r="D161" s="6" t="inlineStr">
        <is>
          <t>Very High</t>
        </is>
      </c>
      <c r="E161" s="6" t="inlineStr">
        <is>
          <t>Very High</t>
        </is>
      </c>
      <c r="F161" s="14" t="n">
        <v>46023</v>
      </c>
      <c r="G161" s="6" t="n">
        <v>24.1403</v>
      </c>
      <c r="H161" s="6" t="n">
        <v>27.4589</v>
      </c>
      <c r="I161" s="6" t="n">
        <v>3.7312248</v>
      </c>
      <c r="J161" s="6" t="n">
        <v>-1.1296922</v>
      </c>
      <c r="K161" s="6" t="n">
        <v>4.860917</v>
      </c>
      <c r="L161" s="6" t="n">
        <v>21.617496</v>
      </c>
      <c r="M161" s="6" t="n">
        <v>2.727944999999998</v>
      </c>
      <c r="N161" s="6" t="n">
        <v>18.889551</v>
      </c>
      <c r="O161" s="6" t="n">
        <v>17.85192</v>
      </c>
      <c r="P161" s="6" t="n">
        <v>-1.427240999999999</v>
      </c>
      <c r="Q161" s="6" t="n">
        <v>19.279161</v>
      </c>
      <c r="R161" s="6" t="n"/>
      <c r="S161" s="6" t="n"/>
      <c r="T161" s="6" t="n"/>
      <c r="U161" s="6" t="n">
        <v>16.43488</v>
      </c>
      <c r="V161" s="6" t="n">
        <v>1349.99</v>
      </c>
      <c r="W161" s="6" t="n">
        <v>-0.2651849617016575</v>
      </c>
      <c r="X161" s="6" t="n">
        <v>-0.7278019936089193</v>
      </c>
      <c r="Y161" s="6" t="n"/>
      <c r="Z161" s="6" t="n"/>
      <c r="AA161" s="6" t="n">
        <v>0.7182702388126542</v>
      </c>
      <c r="AB161" s="6" t="n">
        <v>0.2169354422842052</v>
      </c>
      <c r="AC161" s="6" t="n">
        <v>-0.2544162433433925</v>
      </c>
      <c r="AD161" s="6" t="n">
        <v>-0.6613598274006953</v>
      </c>
      <c r="AE161" s="6" t="n">
        <v>2.1418204</v>
      </c>
      <c r="AF161" s="6" t="n"/>
      <c r="AG161" s="6" t="n">
        <v>19.57342</v>
      </c>
      <c r="AH161" s="6" t="n">
        <v>15.662367</v>
      </c>
      <c r="AI161" s="6" t="n">
        <v>18.73293</v>
      </c>
      <c r="AJ161" s="6" t="n">
        <v>18.73293</v>
      </c>
      <c r="AK161" s="6" t="n">
        <v>14.197407</v>
      </c>
      <c r="AL161" s="6" t="inlineStr">
        <is>
          <t>Equity Scheme - Multi Cap Fund</t>
        </is>
      </c>
      <c r="AM161" s="6" t="n">
        <v>1.91</v>
      </c>
      <c r="AN161" s="6" t="n">
        <v>0</v>
      </c>
      <c r="AO161" s="6" t="n">
        <v>0.05</v>
      </c>
      <c r="AP161" s="6" t="n">
        <v>0.01</v>
      </c>
      <c r="AQ161" s="6" t="n">
        <v>1.97</v>
      </c>
      <c r="AR161" s="6" t="n">
        <v>0.28</v>
      </c>
      <c r="AS161" s="6" t="n">
        <v>0</v>
      </c>
      <c r="AT161" s="6" t="n">
        <v>0.05</v>
      </c>
      <c r="AU161" s="6" t="n">
        <v>0.01</v>
      </c>
      <c r="AV161" s="6" t="n">
        <v>0.34</v>
      </c>
      <c r="AW161" s="17" t="n">
        <v>0.281483566544934</v>
      </c>
      <c r="AX161" s="18" t="inlineStr">
        <is>
          <t>-4cr</t>
        </is>
      </c>
      <c r="AY161" s="26" t="n">
        <v>1.322013094284346</v>
      </c>
      <c r="AZ161" s="26" t="n">
        <v>1.288998876259128</v>
      </c>
      <c r="BA161" s="26" t="n">
        <v>0.610797264122936</v>
      </c>
      <c r="BB161" s="28" t="n">
        <v>3</v>
      </c>
      <c r="BC161" t="n">
        <v>1</v>
      </c>
      <c r="BD161" t="n">
        <v>1</v>
      </c>
      <c r="BE161" t="n">
        <v>1</v>
      </c>
      <c r="BF161" t="n">
        <v>0</v>
      </c>
      <c r="BG161" t="n">
        <v>0</v>
      </c>
      <c r="BH161" t="n">
        <v>0</v>
      </c>
    </row>
    <row r="162">
      <c r="A162" s="6" t="inlineStr">
        <is>
          <t>Kotak Multicap Fund</t>
        </is>
      </c>
      <c r="B162" s="6" t="inlineStr">
        <is>
          <t>multi cap</t>
        </is>
      </c>
      <c r="C162" s="6" t="inlineStr">
        <is>
          <t>NIFTY 500 Multicap 50:25:25 Total Return Index</t>
        </is>
      </c>
      <c r="D162" s="6" t="inlineStr">
        <is>
          <t>Very High</t>
        </is>
      </c>
      <c r="E162" s="6" t="inlineStr">
        <is>
          <t>Very High</t>
        </is>
      </c>
      <c r="F162" s="14" t="n">
        <v>46023</v>
      </c>
      <c r="G162" s="6" t="n">
        <v>20.221</v>
      </c>
      <c r="H162" s="6" t="n">
        <v>21.507</v>
      </c>
      <c r="I162" s="6" t="n">
        <v>7.664197</v>
      </c>
      <c r="J162" s="6" t="n">
        <v>2.80328</v>
      </c>
      <c r="K162" s="6" t="n">
        <v>4.860917</v>
      </c>
      <c r="L162" s="6" t="n">
        <v>25.339844</v>
      </c>
      <c r="M162" s="6" t="n">
        <v>6.450292999999999</v>
      </c>
      <c r="N162" s="6" t="n">
        <v>18.889551</v>
      </c>
      <c r="O162" s="6" t="n"/>
      <c r="P162" s="6" t="n"/>
      <c r="Q162" s="6" t="n"/>
      <c r="R162" s="6" t="n"/>
      <c r="S162" s="6" t="n"/>
      <c r="T162" s="6" t="n"/>
      <c r="U162" s="6" t="n">
        <v>19.692066</v>
      </c>
      <c r="V162" s="6" t="n">
        <v>23113.76</v>
      </c>
      <c r="W162" s="6" t="n">
        <v>0.737142306878837</v>
      </c>
      <c r="X162" s="6" t="n">
        <v>0.411539300399081</v>
      </c>
      <c r="Y162" s="6" t="n"/>
      <c r="Z162" s="6" t="n"/>
      <c r="AA162" s="6" t="n">
        <v>1.319893666556378</v>
      </c>
      <c r="AB162" s="6" t="n">
        <v>0.9944999484062866</v>
      </c>
      <c r="AC162" s="6" t="n"/>
      <c r="AD162" s="6" t="n"/>
      <c r="AE162" s="6" t="n">
        <v>6.3815236</v>
      </c>
      <c r="AF162" s="6" t="n"/>
      <c r="AG162" s="6" t="n">
        <v>23.685923</v>
      </c>
      <c r="AH162" s="6" t="n"/>
      <c r="AI162" s="6" t="n">
        <v>14.092925</v>
      </c>
      <c r="AJ162" s="6" t="n">
        <v>14.092925</v>
      </c>
      <c r="AK162" s="6" t="n">
        <v>17.972298</v>
      </c>
      <c r="AL162" s="6" t="inlineStr">
        <is>
          <t>Equity Scheme - Multi Cap Fund</t>
        </is>
      </c>
      <c r="AM162" s="6" t="n">
        <v>1.5</v>
      </c>
      <c r="AN162" s="6" t="n">
        <v>0</v>
      </c>
      <c r="AO162" s="6" t="n">
        <v>0.05</v>
      </c>
      <c r="AP162" s="6" t="n">
        <v>0.05</v>
      </c>
      <c r="AQ162" s="6" t="n">
        <v>1.6</v>
      </c>
      <c r="AR162" s="6" t="n">
        <v>0.4</v>
      </c>
      <c r="AS162" s="6" t="n">
        <v>0</v>
      </c>
      <c r="AT162" s="6" t="n">
        <v>0</v>
      </c>
      <c r="AU162" s="6" t="n">
        <v>0.05</v>
      </c>
      <c r="AV162" s="6" t="n">
        <v>0.45</v>
      </c>
      <c r="AW162" s="17" t="n">
        <v>-3.580075245221885</v>
      </c>
      <c r="AX162" t="inlineStr">
        <is>
          <t>827cr</t>
        </is>
      </c>
      <c r="AY162" s="26" t="n">
        <v>1.146001149411288</v>
      </c>
      <c r="AZ162" s="26" t="n">
        <v>1.288998876259128</v>
      </c>
      <c r="BA162" s="26" t="n">
        <v>0.5946104912587894</v>
      </c>
      <c r="BB162" s="28" t="n">
        <v>4</v>
      </c>
      <c r="BC162" t="n">
        <v>1</v>
      </c>
      <c r="BD162" t="n">
        <v>0</v>
      </c>
      <c r="BE162" t="n">
        <v>1</v>
      </c>
      <c r="BF162" t="n">
        <v>1</v>
      </c>
      <c r="BG162" t="n">
        <v>0</v>
      </c>
      <c r="BH162" t="n">
        <v>1</v>
      </c>
    </row>
    <row r="163">
      <c r="A163" s="6" t="inlineStr">
        <is>
          <t>LIC MF Multi Cap Fund</t>
        </is>
      </c>
      <c r="B163" s="6" t="inlineStr">
        <is>
          <t>multi cap</t>
        </is>
      </c>
      <c r="C163" s="6" t="inlineStr">
        <is>
          <t>NIFTY 500 Multicap 50:25:25 Total Return Index</t>
        </is>
      </c>
      <c r="D163" s="6" t="inlineStr">
        <is>
          <t>Very High</t>
        </is>
      </c>
      <c r="E163" s="6" t="inlineStr">
        <is>
          <t>Very High</t>
        </is>
      </c>
      <c r="F163" s="14" t="n">
        <v>46023</v>
      </c>
      <c r="G163" s="6" t="n">
        <v>17.2924</v>
      </c>
      <c r="H163" s="6" t="n">
        <v>18.217</v>
      </c>
      <c r="I163" s="6" t="n">
        <v>1.6488575</v>
      </c>
      <c r="J163" s="6" t="n">
        <v>-3.2120595</v>
      </c>
      <c r="K163" s="6" t="n">
        <v>4.860917</v>
      </c>
      <c r="L163" s="6" t="n">
        <v>22.356558</v>
      </c>
      <c r="M163" s="6" t="n">
        <v>3.467006999999999</v>
      </c>
      <c r="N163" s="6" t="n">
        <v>18.889551</v>
      </c>
      <c r="O163" s="6" t="n"/>
      <c r="P163" s="6" t="n"/>
      <c r="Q163" s="6" t="n"/>
      <c r="R163" s="6" t="n"/>
      <c r="S163" s="6" t="n"/>
      <c r="T163" s="6" t="n"/>
      <c r="U163" s="6" t="n">
        <v>20.809738</v>
      </c>
      <c r="V163" s="6" t="n">
        <v>1825.96</v>
      </c>
      <c r="W163" s="6" t="n">
        <v>-0.7094773583649084</v>
      </c>
      <c r="X163" s="6" t="n">
        <v>-1.072076517239454</v>
      </c>
      <c r="Y163" s="6" t="n"/>
      <c r="Z163" s="6" t="n"/>
      <c r="AA163" s="6" t="n">
        <v>0.707177967935432</v>
      </c>
      <c r="AB163" s="6" t="n">
        <v>0.3085756710505415</v>
      </c>
      <c r="AC163" s="6" t="n"/>
      <c r="AD163" s="6" t="n"/>
      <c r="AE163" s="6" t="n">
        <v>0.111154854</v>
      </c>
      <c r="AF163" s="6" t="n"/>
      <c r="AG163" s="6" t="n">
        <v>20.386898</v>
      </c>
      <c r="AH163" s="6" t="n"/>
      <c r="AI163" s="6" t="n">
        <v>17.98082</v>
      </c>
      <c r="AJ163" s="6" t="n">
        <v>17.98082</v>
      </c>
      <c r="AK163" s="6" t="n">
        <v>18.842466</v>
      </c>
      <c r="AL163" s="6" t="inlineStr">
        <is>
          <t>Equity Scheme - Multi Cap Fund</t>
        </is>
      </c>
      <c r="AM163" s="6" t="n">
        <v>1.93</v>
      </c>
      <c r="AN163" s="6" t="n">
        <v>0</v>
      </c>
      <c r="AO163" s="6" t="n">
        <v>0.05</v>
      </c>
      <c r="AP163" s="6" t="n">
        <v>0.05</v>
      </c>
      <c r="AQ163" s="6" t="n">
        <v>2.03</v>
      </c>
      <c r="AR163" s="6" t="n">
        <v>0.45</v>
      </c>
      <c r="AS163" s="6" t="n">
        <v>0</v>
      </c>
      <c r="AT163" s="6" t="n">
        <v>0.05</v>
      </c>
      <c r="AU163" s="6" t="n">
        <v>0.05</v>
      </c>
      <c r="AV163" s="6" t="n">
        <v>0.55</v>
      </c>
      <c r="AW163" s="17" t="n">
        <v>-0.4375780411400036</v>
      </c>
      <c r="AX163" t="inlineStr">
        <is>
          <t>8cr</t>
        </is>
      </c>
      <c r="AY163" s="26" t="n">
        <v>1.150668962561594</v>
      </c>
      <c r="AZ163" s="26" t="n">
        <v>1.288998876259128</v>
      </c>
      <c r="BA163" s="26" t="n">
        <v>0.5997903169508604</v>
      </c>
      <c r="BB163" s="28" t="n">
        <v>2</v>
      </c>
      <c r="BC163" t="n">
        <v>0</v>
      </c>
      <c r="BD163" t="n">
        <v>0</v>
      </c>
      <c r="BE163" t="n">
        <v>1</v>
      </c>
      <c r="BF163" t="n">
        <v>0</v>
      </c>
      <c r="BG163" t="n">
        <v>0</v>
      </c>
      <c r="BH163" t="n">
        <v>1</v>
      </c>
    </row>
    <row r="164">
      <c r="A164" s="6" t="inlineStr">
        <is>
          <t>Mahindra Manulife Multi Cap Fund</t>
        </is>
      </c>
      <c r="B164" s="6" t="inlineStr">
        <is>
          <t>multi cap</t>
        </is>
      </c>
      <c r="C164" s="6" t="inlineStr">
        <is>
          <t>NIFTY 500 Multicap 50:25:25 Total Return Index</t>
        </is>
      </c>
      <c r="D164" s="6" t="inlineStr">
        <is>
          <t>Very High</t>
        </is>
      </c>
      <c r="E164" s="6" t="inlineStr">
        <is>
          <t>Very High</t>
        </is>
      </c>
      <c r="F164" s="14" t="n">
        <v>46023</v>
      </c>
      <c r="G164" s="6" t="n">
        <v>36.145</v>
      </c>
      <c r="H164" s="6" t="n">
        <v>42.2063</v>
      </c>
      <c r="I164" s="6" t="n">
        <v>4.50622</v>
      </c>
      <c r="J164" s="6" t="n">
        <v>-0.3546969999999998</v>
      </c>
      <c r="K164" s="6" t="n">
        <v>4.860917</v>
      </c>
      <c r="L164" s="6" t="n">
        <v>21.515823</v>
      </c>
      <c r="M164" s="6" t="n">
        <v>2.626272</v>
      </c>
      <c r="N164" s="6" t="n">
        <v>18.889551</v>
      </c>
      <c r="O164" s="6" t="n">
        <v>23.234062</v>
      </c>
      <c r="P164" s="6" t="n">
        <v>3.954901000000003</v>
      </c>
      <c r="Q164" s="6" t="n">
        <v>19.279161</v>
      </c>
      <c r="R164" s="6" t="n"/>
      <c r="S164" s="6" t="n"/>
      <c r="T164" s="6" t="n"/>
      <c r="U164" s="6" t="n">
        <v>18.114626</v>
      </c>
      <c r="V164" s="6" t="n">
        <v>6152.62</v>
      </c>
      <c r="W164" s="6" t="n">
        <v>-0.05867473596172772</v>
      </c>
      <c r="X164" s="6" t="n">
        <v>-0.4274316207521957</v>
      </c>
      <c r="Y164" s="6" t="n"/>
      <c r="Z164" s="6" t="n"/>
      <c r="AA164" s="6" t="n">
        <v>0.5422793155550083</v>
      </c>
      <c r="AB164" s="6" t="n">
        <v>0.2107772906205235</v>
      </c>
      <c r="AC164" s="6" t="n">
        <v>0.7842168587718489</v>
      </c>
      <c r="AD164" s="6" t="n">
        <v>0.4239177894813466</v>
      </c>
      <c r="AE164" s="6" t="n">
        <v>3.0723517</v>
      </c>
      <c r="AF164" s="6" t="n"/>
      <c r="AG164" s="6" t="n">
        <v>19.72381</v>
      </c>
      <c r="AH164" s="6" t="n">
        <v>21.26567</v>
      </c>
      <c r="AI164" s="6" t="n">
        <v>14.647104</v>
      </c>
      <c r="AJ164" s="6" t="n">
        <v>14.647104</v>
      </c>
      <c r="AK164" s="6" t="n">
        <v>16.016392</v>
      </c>
      <c r="AL164" s="6" t="inlineStr">
        <is>
          <t>Equity Scheme - Multi Cap Fund</t>
        </is>
      </c>
      <c r="AM164" s="6" t="n">
        <v>1.68</v>
      </c>
      <c r="AN164" s="6" t="n">
        <v>0</v>
      </c>
      <c r="AO164" s="6" t="n">
        <v>0.05</v>
      </c>
      <c r="AP164" s="6" t="n">
        <v>0.05</v>
      </c>
      <c r="AQ164" s="6" t="n">
        <v>1.78</v>
      </c>
      <c r="AR164" s="6" t="n">
        <v>0.31</v>
      </c>
      <c r="AS164" s="6" t="n">
        <v>0</v>
      </c>
      <c r="AT164" s="6" t="n">
        <v>0.05</v>
      </c>
      <c r="AU164" s="6" t="n">
        <v>0.05</v>
      </c>
      <c r="AV164" s="6" t="n">
        <v>0.41</v>
      </c>
      <c r="AW164" s="17" t="n">
        <v>-0.746511242365046</v>
      </c>
      <c r="AX164" t="inlineStr">
        <is>
          <t>46cr</t>
        </is>
      </c>
      <c r="AY164" s="26" t="n">
        <v>1.38234895104455</v>
      </c>
      <c r="AZ164" s="26" t="n">
        <v>1.288998876259128</v>
      </c>
      <c r="BA164" s="26" t="n">
        <v>0.5936486689830264</v>
      </c>
      <c r="BB164" s="28" t="n">
        <v>2</v>
      </c>
      <c r="BC164" t="n">
        <v>1</v>
      </c>
      <c r="BD164" t="n">
        <v>0</v>
      </c>
      <c r="BE164" t="n">
        <v>1</v>
      </c>
      <c r="BF164" t="n">
        <v>0</v>
      </c>
      <c r="BG164" t="n">
        <v>0</v>
      </c>
      <c r="BH164" t="n">
        <v>0</v>
      </c>
    </row>
    <row r="165">
      <c r="A165" s="6" t="inlineStr">
        <is>
          <t>Mirae Asset Multicap Fund</t>
        </is>
      </c>
      <c r="B165" s="6" t="inlineStr">
        <is>
          <t>multi cap</t>
        </is>
      </c>
      <c r="C165" s="6" t="inlineStr">
        <is>
          <t>NIFTY 500 Multicap 50:25:25 Total Return Index</t>
        </is>
      </c>
      <c r="D165" s="6" t="inlineStr">
        <is>
          <t>Very High</t>
        </is>
      </c>
      <c r="E165" s="6" t="inlineStr">
        <is>
          <t>Very High</t>
        </is>
      </c>
      <c r="F165" s="14" t="n">
        <v>46023</v>
      </c>
      <c r="G165" s="6" t="n">
        <v>14.778</v>
      </c>
      <c r="H165" s="6" t="n">
        <v>15.307</v>
      </c>
      <c r="I165" s="6" t="n">
        <v>9.499964</v>
      </c>
      <c r="J165" s="6" t="n">
        <v>4.639047000000001</v>
      </c>
      <c r="K165" s="6" t="n">
        <v>4.860917</v>
      </c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>
        <v>19.70368</v>
      </c>
      <c r="V165" s="6" t="n">
        <v>4597.34</v>
      </c>
      <c r="W165" s="6" t="n">
        <v>1.75855609467516</v>
      </c>
      <c r="X165" s="6" t="n">
        <v>1.170147155841972</v>
      </c>
      <c r="Y165" s="6" t="n"/>
      <c r="Z165" s="6" t="n"/>
      <c r="AA165" s="6" t="n"/>
      <c r="AB165" s="6" t="n"/>
      <c r="AC165" s="6" t="n"/>
      <c r="AD165" s="6" t="n"/>
      <c r="AE165" s="6" t="n">
        <v>7.9395223</v>
      </c>
      <c r="AF165" s="6" t="n"/>
      <c r="AG165" s="6" t="n"/>
      <c r="AH165" s="6" t="n"/>
      <c r="AI165" s="6" t="n">
        <v>18.0014</v>
      </c>
      <c r="AJ165" s="6" t="n">
        <v>18.0014</v>
      </c>
      <c r="AK165" s="6" t="n">
        <v>17.938272</v>
      </c>
      <c r="AL165" s="6" t="inlineStr">
        <is>
          <t>Equity Scheme - Multi Cap Fund</t>
        </is>
      </c>
      <c r="AM165" s="6" t="n">
        <v>1.73</v>
      </c>
      <c r="AN165" s="6" t="n">
        <v>0</v>
      </c>
      <c r="AO165" s="6" t="n">
        <v>0.05</v>
      </c>
      <c r="AP165" s="6" t="n">
        <v>0.05</v>
      </c>
      <c r="AQ165" s="6" t="n">
        <v>1.83</v>
      </c>
      <c r="AR165" s="6" t="n">
        <v>0.31</v>
      </c>
      <c r="AS165" s="6" t="n">
        <v>0</v>
      </c>
      <c r="AT165" s="6" t="n">
        <v>0.05</v>
      </c>
      <c r="AU165" s="6" t="n">
        <v>0.05</v>
      </c>
      <c r="AV165" s="6" t="n">
        <v>0.41</v>
      </c>
      <c r="AW165" s="17" t="n">
        <v>-2.195182431580002</v>
      </c>
      <c r="AX165" t="inlineStr">
        <is>
          <t>101cr</t>
        </is>
      </c>
      <c r="AY165" s="26" t="n">
        <v>1.139299344883925</v>
      </c>
      <c r="AZ165" s="26" t="n">
        <v>1.288998876259128</v>
      </c>
      <c r="BA165" s="26" t="n">
        <v>0.4982586918533332</v>
      </c>
      <c r="BB165" s="28" t="n">
        <v>5</v>
      </c>
      <c r="BC165" t="n">
        <v>1</v>
      </c>
      <c r="BD165" t="n">
        <v>0</v>
      </c>
      <c r="BE165" t="n">
        <v>1</v>
      </c>
      <c r="BF165" t="n">
        <v>1</v>
      </c>
      <c r="BG165" t="n">
        <v>1</v>
      </c>
      <c r="BH165" t="n">
        <v>1</v>
      </c>
    </row>
    <row r="166">
      <c r="A166" s="6" t="inlineStr">
        <is>
          <t>Motilal Oswal Multi Cap Fund</t>
        </is>
      </c>
      <c r="B166" s="6" t="inlineStr">
        <is>
          <t>multi cap</t>
        </is>
      </c>
      <c r="C166" s="6" t="inlineStr">
        <is>
          <t>NIFTY 500 Multicap 50:25:25 Total Return Index</t>
        </is>
      </c>
      <c r="D166" s="6" t="inlineStr">
        <is>
          <t>Very High</t>
        </is>
      </c>
      <c r="E166" s="6" t="inlineStr">
        <is>
          <t>Very High</t>
        </is>
      </c>
      <c r="F166" s="14" t="n">
        <v>46023</v>
      </c>
      <c r="G166" s="6" t="n">
        <v>13.162</v>
      </c>
      <c r="H166" s="6" t="n">
        <v>13.4401</v>
      </c>
      <c r="I166" s="6" t="n">
        <v>-2.96307</v>
      </c>
      <c r="J166" s="6" t="n">
        <v>-7.823987</v>
      </c>
      <c r="K166" s="6" t="n">
        <v>4.860917</v>
      </c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>
        <v>18.168135</v>
      </c>
      <c r="V166" s="6" t="n">
        <v>4512.81</v>
      </c>
      <c r="W166" s="6" t="n">
        <v>-0.7303977515695322</v>
      </c>
      <c r="X166" s="6" t="n">
        <v>-0.866230200947543</v>
      </c>
      <c r="Y166" s="6" t="n"/>
      <c r="Z166" s="6" t="n"/>
      <c r="AA166" s="6" t="n"/>
      <c r="AB166" s="6" t="n"/>
      <c r="AC166" s="6" t="n"/>
      <c r="AD166" s="6" t="n"/>
      <c r="AE166" s="6" t="n">
        <v>-4.2359686</v>
      </c>
      <c r="AF166" s="6" t="n"/>
      <c r="AG166" s="6" t="n"/>
      <c r="AH166" s="6" t="n"/>
      <c r="AI166" s="6" t="n">
        <v>4.7153053</v>
      </c>
      <c r="AJ166" s="6" t="n">
        <v>4.609754</v>
      </c>
      <c r="AK166" s="6" t="n">
        <v>17.760002</v>
      </c>
      <c r="AL166" s="6" t="inlineStr">
        <is>
          <t>Equity Scheme - Multi Cap Fund</t>
        </is>
      </c>
      <c r="AM166" s="6" t="n">
        <v>1.75</v>
      </c>
      <c r="AN166" s="6" t="n">
        <v>0</v>
      </c>
      <c r="AO166" s="6" t="n">
        <v>0.05</v>
      </c>
      <c r="AP166" s="6" t="n">
        <v>0.11</v>
      </c>
      <c r="AQ166" s="6" t="n">
        <v>1.91</v>
      </c>
      <c r="AR166" s="6" t="n">
        <v>0.68</v>
      </c>
      <c r="AS166" s="6" t="n">
        <v>0</v>
      </c>
      <c r="AT166" s="6" t="n">
        <v>0.05</v>
      </c>
      <c r="AU166" s="6" t="n">
        <v>0.11</v>
      </c>
      <c r="AV166" s="6" t="n">
        <v>0.84</v>
      </c>
      <c r="AW166" s="17" t="n">
        <v>4.669817696734402</v>
      </c>
      <c r="AX166" s="18" t="inlineStr">
        <is>
          <t>-211cr</t>
        </is>
      </c>
      <c r="AY166" s="26" t="n">
        <v>1.84830079283191</v>
      </c>
      <c r="AZ166" s="26" t="n">
        <v>1.288998876259128</v>
      </c>
      <c r="BA166" s="26" t="n">
        <v>0.8203540369946819</v>
      </c>
      <c r="BB166" s="28" t="n">
        <v>1</v>
      </c>
      <c r="BC166" t="n">
        <v>0</v>
      </c>
      <c r="BD166" t="n">
        <v>1</v>
      </c>
      <c r="BE166" t="n">
        <v>0</v>
      </c>
      <c r="BF166" t="n">
        <v>0</v>
      </c>
      <c r="BG166" t="n">
        <v>0</v>
      </c>
      <c r="BH166" t="n">
        <v>0</v>
      </c>
    </row>
    <row r="167">
      <c r="A167" s="6" t="inlineStr">
        <is>
          <t>PGIM India Multi Cap Fund</t>
        </is>
      </c>
      <c r="B167" s="6" t="inlineStr">
        <is>
          <t>multi cap</t>
        </is>
      </c>
      <c r="C167" s="6" t="inlineStr">
        <is>
          <t>NIFTY 500 Multicap 50:25:25 Total Return Index</t>
        </is>
      </c>
      <c r="D167" s="6" t="inlineStr">
        <is>
          <t>Very High</t>
        </is>
      </c>
      <c r="E167" s="6" t="inlineStr">
        <is>
          <t>Very High</t>
        </is>
      </c>
      <c r="F167" s="14" t="n">
        <v>46023</v>
      </c>
      <c r="G167" s="6" t="n">
        <v>9.92</v>
      </c>
      <c r="H167" s="6" t="n">
        <v>10.14</v>
      </c>
      <c r="I167" s="6" t="n">
        <v>4.968944</v>
      </c>
      <c r="J167" s="6" t="n">
        <v>0.1080269999999999</v>
      </c>
      <c r="K167" s="6" t="n">
        <v>4.860917</v>
      </c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>
        <v>0.38056543</v>
      </c>
      <c r="V167" s="6" t="n">
        <v>416.33</v>
      </c>
      <c r="W167" s="6" t="n">
        <v>0.001320764701585343</v>
      </c>
      <c r="X167" s="6" t="n">
        <v>-0.4683650224473972</v>
      </c>
      <c r="Y167" s="6" t="n"/>
      <c r="Z167" s="6" t="n"/>
      <c r="AA167" s="6" t="n"/>
      <c r="AB167" s="6" t="n"/>
      <c r="AC167" s="6" t="n"/>
      <c r="AD167" s="6" t="n"/>
      <c r="AE167" s="6" t="n">
        <v>3.2258065</v>
      </c>
      <c r="AF167" s="6" t="n"/>
      <c r="AG167" s="6" t="n"/>
      <c r="AH167" s="6" t="n"/>
      <c r="AI167" s="6" t="n">
        <v>-0.47584012</v>
      </c>
      <c r="AJ167" s="6" t="n">
        <v>-0.47584012</v>
      </c>
      <c r="AK167" s="6" t="n">
        <v>-1.2219725</v>
      </c>
      <c r="AL167" s="6" t="inlineStr">
        <is>
          <t>Equity Scheme - Multi Cap Fund</t>
        </is>
      </c>
      <c r="AM167" s="6" t="n">
        <v>2.25</v>
      </c>
      <c r="AN167" s="6" t="n">
        <v>0</v>
      </c>
      <c r="AO167" s="6" t="n">
        <v>0.05</v>
      </c>
      <c r="AP167" s="6" t="n">
        <v>0.09</v>
      </c>
      <c r="AQ167" s="6" t="n">
        <v>2.39</v>
      </c>
      <c r="AR167" s="6" t="n">
        <v>0.57</v>
      </c>
      <c r="AS167" s="6" t="n">
        <v>0</v>
      </c>
      <c r="AT167" s="6" t="n">
        <v>0.05</v>
      </c>
      <c r="AU167" s="6" t="n">
        <v>0.09</v>
      </c>
      <c r="AV167" s="6" t="n">
        <v>0.71</v>
      </c>
      <c r="AW167" s="17" t="n">
        <v>2.080080705209816</v>
      </c>
      <c r="AX167" s="18" t="inlineStr">
        <is>
          <t>-9cr</t>
        </is>
      </c>
      <c r="AY167" s="26" t="n">
        <v>1.220741912328447</v>
      </c>
      <c r="AZ167" s="26" t="n">
        <v>1.288998876259128</v>
      </c>
      <c r="BA167" s="26" t="n">
        <v>0.5606314513735763</v>
      </c>
      <c r="BB167" s="28" t="n">
        <v>4</v>
      </c>
      <c r="BC167" t="n">
        <v>1</v>
      </c>
      <c r="BD167" t="n">
        <v>1</v>
      </c>
      <c r="BE167" t="n">
        <v>0</v>
      </c>
      <c r="BF167" t="n">
        <v>1</v>
      </c>
      <c r="BG167" t="n">
        <v>0</v>
      </c>
      <c r="BH167" t="n">
        <v>1</v>
      </c>
    </row>
    <row r="168">
      <c r="A168" s="6" t="inlineStr">
        <is>
          <t>Quant Multi Cap Fund</t>
        </is>
      </c>
      <c r="B168" s="6" t="inlineStr">
        <is>
          <t>multi cap</t>
        </is>
      </c>
      <c r="C168" s="6" t="inlineStr">
        <is>
          <t>NIFTY 500 Multicap 50:25:25 Total Return Index</t>
        </is>
      </c>
      <c r="D168" s="6" t="inlineStr">
        <is>
          <t>Very High</t>
        </is>
      </c>
      <c r="E168" s="6" t="inlineStr">
        <is>
          <t>Very High</t>
        </is>
      </c>
      <c r="F168" s="14" t="n">
        <v>46023</v>
      </c>
      <c r="G168" s="6" t="n">
        <v>611.463</v>
      </c>
      <c r="H168" s="6" t="n">
        <v>669.8847</v>
      </c>
      <c r="I168" s="6" t="n">
        <v>-4.0800214</v>
      </c>
      <c r="J168" s="6" t="n">
        <v>-8.9409384</v>
      </c>
      <c r="K168" s="6" t="n">
        <v>4.860917</v>
      </c>
      <c r="L168" s="6" t="n">
        <v>11.272718</v>
      </c>
      <c r="M168" s="6" t="n">
        <v>-7.616833000000002</v>
      </c>
      <c r="N168" s="6" t="n">
        <v>18.889551</v>
      </c>
      <c r="O168" s="6" t="n">
        <v>19.46165</v>
      </c>
      <c r="P168" s="6" t="n">
        <v>0.1824890000000003</v>
      </c>
      <c r="Q168" s="6" t="n">
        <v>19.279161</v>
      </c>
      <c r="R168" s="6" t="n">
        <v>17.396904</v>
      </c>
      <c r="S168" s="6" t="n">
        <v>1.985481999999999</v>
      </c>
      <c r="T168" s="6" t="n">
        <v>15.411422</v>
      </c>
      <c r="U168" s="6" t="n">
        <v>18.492365</v>
      </c>
      <c r="V168" s="6" t="n">
        <v>8175.59</v>
      </c>
      <c r="W168" s="6" t="n">
        <v>-1.664716419100945</v>
      </c>
      <c r="X168" s="6" t="n">
        <v>-1.883888480786705</v>
      </c>
      <c r="Y168" s="6" t="n">
        <v>0.2590611448649922</v>
      </c>
      <c r="Z168" s="6" t="n">
        <v>0.1434394635773044</v>
      </c>
      <c r="AA168" s="6" t="n">
        <v>-1.105547058528189</v>
      </c>
      <c r="AB168" s="6" t="n">
        <v>-1.302336467559579</v>
      </c>
      <c r="AC168" s="6" t="n">
        <v>0.0851532452015351</v>
      </c>
      <c r="AD168" s="6" t="n">
        <v>-0.1169071612129068</v>
      </c>
      <c r="AE168" s="6" t="n">
        <v>-5.170366</v>
      </c>
      <c r="AF168" s="6" t="n">
        <v>16.381676</v>
      </c>
      <c r="AG168" s="6" t="n">
        <v>10.040238</v>
      </c>
      <c r="AH168" s="6" t="n">
        <v>17.858324</v>
      </c>
      <c r="AI168" s="6" t="n"/>
      <c r="AJ168" s="6" t="n">
        <v>15.64256</v>
      </c>
      <c r="AK168" s="6" t="n">
        <v>18.070835</v>
      </c>
      <c r="AL168" s="6" t="inlineStr">
        <is>
          <t>Equity Scheme - Multi Cap Fund</t>
        </is>
      </c>
      <c r="AM168" s="6" t="n">
        <v>1.65</v>
      </c>
      <c r="AN168" s="6" t="n">
        <v>0</v>
      </c>
      <c r="AO168" s="6" t="n">
        <v>0.05</v>
      </c>
      <c r="AP168" s="6" t="n">
        <v>0.11</v>
      </c>
      <c r="AQ168" s="6" t="n">
        <v>1.81</v>
      </c>
      <c r="AR168" s="6" t="n">
        <v>0.5600000000000001</v>
      </c>
      <c r="AS168" s="6" t="n">
        <v>0</v>
      </c>
      <c r="AT168" s="6" t="n">
        <v>0.05</v>
      </c>
      <c r="AU168" s="6" t="n">
        <v>0.11</v>
      </c>
      <c r="AV168" s="6" t="n">
        <v>0.72</v>
      </c>
      <c r="AW168" s="17" t="n">
        <v>7.529609483841535</v>
      </c>
      <c r="AX168" s="18" t="inlineStr">
        <is>
          <t>-616cr</t>
        </is>
      </c>
      <c r="AY168" s="26" t="n">
        <v>1.355591058283012</v>
      </c>
      <c r="AZ168" s="26" t="n">
        <v>1.288998876259128</v>
      </c>
      <c r="BA168" s="26" t="n">
        <v>0.6233893958026688</v>
      </c>
      <c r="BB168" s="28" t="n">
        <v>1</v>
      </c>
      <c r="BC168" t="n">
        <v>0</v>
      </c>
      <c r="BD168" t="n">
        <v>1</v>
      </c>
      <c r="BE168" t="n">
        <v>0</v>
      </c>
      <c r="BF168" t="n">
        <v>0</v>
      </c>
      <c r="BG168" t="n">
        <v>0</v>
      </c>
      <c r="BH168" t="n">
        <v>0</v>
      </c>
    </row>
    <row r="169">
      <c r="A169" s="6" t="inlineStr">
        <is>
          <t>Tata Multicap Fund</t>
        </is>
      </c>
      <c r="B169" s="6" t="inlineStr">
        <is>
          <t>multi cap</t>
        </is>
      </c>
      <c r="C169" s="6" t="inlineStr">
        <is>
          <t>NIFTY 500 Multicap 50:25:25 Total Return Index</t>
        </is>
      </c>
      <c r="D169" s="6" t="inlineStr">
        <is>
          <t>Very High</t>
        </is>
      </c>
      <c r="E169" s="6" t="inlineStr">
        <is>
          <t>Very High</t>
        </is>
      </c>
      <c r="F169" s="14" t="n">
        <v>46023</v>
      </c>
      <c r="G169" s="6" t="n">
        <v>14.8693</v>
      </c>
      <c r="H169" s="6" t="n">
        <v>15.5632</v>
      </c>
      <c r="I169" s="6" t="n">
        <v>4.804811</v>
      </c>
      <c r="J169" s="6" t="n">
        <v>-0.05610599999999977</v>
      </c>
      <c r="K169" s="6" t="n">
        <v>4.860917</v>
      </c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>
        <v>16.385424</v>
      </c>
      <c r="V169" s="6" t="n">
        <v>3227.01</v>
      </c>
      <c r="W169" s="6" t="n">
        <v>-0.0007215135409111321</v>
      </c>
      <c r="X169" s="6" t="n">
        <v>-0.4552127000153666</v>
      </c>
      <c r="Y169" s="6" t="n"/>
      <c r="Z169" s="6" t="n"/>
      <c r="AA169" s="6" t="n"/>
      <c r="AB169" s="6" t="n"/>
      <c r="AC169" s="6" t="n"/>
      <c r="AD169" s="6" t="n"/>
      <c r="AE169" s="6" t="n">
        <v>3.2963293</v>
      </c>
      <c r="AF169" s="6" t="n"/>
      <c r="AG169" s="6" t="n"/>
      <c r="AH169" s="6" t="n"/>
      <c r="AI169" s="6" t="n">
        <v>21.060951</v>
      </c>
      <c r="AJ169" s="6" t="n">
        <v>21.060951</v>
      </c>
      <c r="AK169" s="6" t="n">
        <v>14.578576</v>
      </c>
      <c r="AL169" s="6" t="inlineStr">
        <is>
          <t>Equity Scheme - Multi Cap Fund</t>
        </is>
      </c>
      <c r="AM169" s="6" t="n">
        <v>1.78</v>
      </c>
      <c r="AN169" s="6" t="n">
        <v>0</v>
      </c>
      <c r="AO169" s="6" t="n">
        <v>0.05</v>
      </c>
      <c r="AP169" s="6" t="n">
        <v>0.06</v>
      </c>
      <c r="AQ169" s="6" t="n">
        <v>1.89</v>
      </c>
      <c r="AR169" s="6" t="n">
        <v>0.36</v>
      </c>
      <c r="AS169" s="6" t="n">
        <v>0</v>
      </c>
      <c r="AT169" s="6" t="n">
        <v>0.05</v>
      </c>
      <c r="AU169" s="6" t="n">
        <v>0.06</v>
      </c>
      <c r="AV169" s="6" t="n">
        <v>0.47</v>
      </c>
      <c r="AW169" s="17" t="n">
        <v>-0.0625966451916925</v>
      </c>
      <c r="AX169" t="inlineStr">
        <is>
          <t>2cr</t>
        </is>
      </c>
      <c r="AY169" s="26" t="n">
        <v>1.403243415230913</v>
      </c>
      <c r="AZ169" s="26" t="n">
        <v>1.288998876259128</v>
      </c>
      <c r="BA169" s="26" t="n">
        <v>0.5229340997244114</v>
      </c>
      <c r="BB169" s="28" t="n">
        <v>2</v>
      </c>
      <c r="BC169" t="n">
        <v>1</v>
      </c>
      <c r="BD169" t="n">
        <v>0</v>
      </c>
      <c r="BE169" t="n">
        <v>1</v>
      </c>
      <c r="BF169" t="n">
        <v>0</v>
      </c>
      <c r="BG169" t="n">
        <v>0</v>
      </c>
      <c r="BH169" t="n">
        <v>0</v>
      </c>
    </row>
    <row r="170">
      <c r="A170" s="6" t="inlineStr">
        <is>
          <t>Union Multicap Fund</t>
        </is>
      </c>
      <c r="B170" s="6" t="inlineStr">
        <is>
          <t>multi cap</t>
        </is>
      </c>
      <c r="C170" s="6" t="inlineStr">
        <is>
          <t>NIFTY 500 Multicap 50:25:25 Total Return Index</t>
        </is>
      </c>
      <c r="D170" s="6" t="inlineStr">
        <is>
          <t>Very High</t>
        </is>
      </c>
      <c r="E170" s="6" t="inlineStr">
        <is>
          <t>Very High</t>
        </is>
      </c>
      <c r="F170" s="14" t="n">
        <v>46023</v>
      </c>
      <c r="G170" s="6" t="n">
        <v>16.31</v>
      </c>
      <c r="H170" s="6" t="n">
        <v>16.96</v>
      </c>
      <c r="I170" s="6" t="n">
        <v>3.4777303</v>
      </c>
      <c r="J170" s="6" t="n">
        <v>-1.3831867</v>
      </c>
      <c r="K170" s="6" t="n">
        <v>4.860917</v>
      </c>
      <c r="L170" s="6" t="n">
        <v>19.959803</v>
      </c>
      <c r="M170" s="6" t="n">
        <v>1.070252</v>
      </c>
      <c r="N170" s="6" t="n">
        <v>18.889551</v>
      </c>
      <c r="O170" s="6" t="n"/>
      <c r="P170" s="6" t="n"/>
      <c r="Q170" s="6" t="n"/>
      <c r="R170" s="6" t="n"/>
      <c r="S170" s="6" t="n"/>
      <c r="T170" s="6" t="n"/>
      <c r="U170" s="6" t="n">
        <v>18.989834</v>
      </c>
      <c r="V170" s="6" t="n">
        <v>1327.42</v>
      </c>
      <c r="W170" s="6" t="n">
        <v>-0.4045465550752902</v>
      </c>
      <c r="X170" s="6" t="n">
        <v>-0.7750668131672825</v>
      </c>
      <c r="Y170" s="6" t="n"/>
      <c r="Z170" s="6" t="n"/>
      <c r="AA170" s="6" t="n">
        <v>0.2655713444899041</v>
      </c>
      <c r="AB170" s="6" t="n">
        <v>-0.1239674931356862</v>
      </c>
      <c r="AC170" s="6" t="n"/>
      <c r="AD170" s="6" t="n"/>
      <c r="AE170" s="6" t="n">
        <v>2.2570534</v>
      </c>
      <c r="AF170" s="6" t="n"/>
      <c r="AG170" s="6" t="n">
        <v>18.451658</v>
      </c>
      <c r="AH170" s="6" t="n"/>
      <c r="AI170" s="6" t="n">
        <v>17.84851</v>
      </c>
      <c r="AJ170" s="6" t="n">
        <v>17.84851</v>
      </c>
      <c r="AK170" s="6" t="n">
        <v>17.469193</v>
      </c>
      <c r="AL170" s="6" t="inlineStr">
        <is>
          <t>Equity Scheme - Multi Cap Fund</t>
        </is>
      </c>
      <c r="AM170" s="6" t="n">
        <v>1.99</v>
      </c>
      <c r="AN170" s="6" t="n">
        <v>0</v>
      </c>
      <c r="AO170" s="6" t="n">
        <v>0.05</v>
      </c>
      <c r="AP170" s="6" t="n">
        <v>0.13</v>
      </c>
      <c r="AQ170" s="6" t="n">
        <v>2.17</v>
      </c>
      <c r="AR170" s="6" t="n">
        <v>0.83</v>
      </c>
      <c r="AS170" s="6" t="n">
        <v>0</v>
      </c>
      <c r="AT170" s="6" t="n">
        <v>0.05</v>
      </c>
      <c r="AU170" s="6" t="n">
        <v>0.13</v>
      </c>
      <c r="AV170" s="6" t="n">
        <v>1.01</v>
      </c>
      <c r="AW170" s="17" t="n">
        <v>0.9348962649349757</v>
      </c>
      <c r="AX170" s="18" t="inlineStr">
        <is>
          <t>-12cr</t>
        </is>
      </c>
      <c r="AY170" s="26" t="n">
        <v>1.200650151700764</v>
      </c>
      <c r="AZ170" s="26" t="n">
        <v>1.288998876259128</v>
      </c>
      <c r="BA170" s="26" t="n">
        <v>0.5878531542712867</v>
      </c>
      <c r="BB170" s="28" t="n">
        <v>3</v>
      </c>
      <c r="BC170" t="n">
        <v>1</v>
      </c>
      <c r="BD170" t="n">
        <v>1</v>
      </c>
      <c r="BE170" t="n">
        <v>0</v>
      </c>
      <c r="BF170" t="n">
        <v>0</v>
      </c>
      <c r="BG170" t="n">
        <v>0</v>
      </c>
      <c r="BH170" t="n">
        <v>1</v>
      </c>
    </row>
    <row r="171">
      <c r="A171" s="6" t="inlineStr">
        <is>
          <t>WhiteOak Capital Multi Cap Fund</t>
        </is>
      </c>
      <c r="B171" s="6" t="inlineStr">
        <is>
          <t>multi cap</t>
        </is>
      </c>
      <c r="C171" s="6" t="inlineStr">
        <is>
          <t>NIFTY 500 Multicap 50:25:25 Total Return Index</t>
        </is>
      </c>
      <c r="D171" s="6" t="inlineStr">
        <is>
          <t>Very High</t>
        </is>
      </c>
      <c r="E171" s="6" t="inlineStr">
        <is>
          <t>Very High</t>
        </is>
      </c>
      <c r="F171" s="14" t="n">
        <v>46023</v>
      </c>
      <c r="G171" s="6" t="n">
        <v>15.46</v>
      </c>
      <c r="H171" s="6" t="n">
        <v>16.035</v>
      </c>
      <c r="I171" s="6" t="n">
        <v>6.4741035</v>
      </c>
      <c r="J171" s="6" t="n">
        <v>1.6131865</v>
      </c>
      <c r="K171" s="6" t="n">
        <v>4.860917</v>
      </c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>
        <v>23.016722</v>
      </c>
      <c r="V171" s="6" t="n">
        <v>2966.8</v>
      </c>
      <c r="W171" s="6" t="n">
        <v>0.5314663401547126</v>
      </c>
      <c r="X171" s="6" t="n">
        <v>0.01054962826251427</v>
      </c>
      <c r="Y171" s="6" t="n"/>
      <c r="Z171" s="6" t="n"/>
      <c r="AA171" s="6" t="n"/>
      <c r="AB171" s="6" t="n"/>
      <c r="AC171" s="6" t="n"/>
      <c r="AD171" s="6" t="n"/>
      <c r="AE171" s="6" t="n">
        <v>4.8917837</v>
      </c>
      <c r="AF171" s="6" t="n"/>
      <c r="AG171" s="6" t="n"/>
      <c r="AH171" s="6" t="n"/>
      <c r="AI171" s="6" t="n">
        <v>17.024166</v>
      </c>
      <c r="AJ171" s="6" t="n">
        <v>17.024166</v>
      </c>
      <c r="AK171" s="6" t="n">
        <v>21.061644</v>
      </c>
      <c r="AL171" s="6" t="inlineStr">
        <is>
          <t>Equity Scheme - Multi Cap Fund</t>
        </is>
      </c>
      <c r="AM171" s="6" t="n">
        <v>1.81</v>
      </c>
      <c r="AN171" s="6" t="n">
        <v>0</v>
      </c>
      <c r="AO171" s="6" t="n">
        <v>0.05</v>
      </c>
      <c r="AP171" s="6" t="n">
        <v>0.07000000000000001</v>
      </c>
      <c r="AQ171" s="6" t="n">
        <v>1.93</v>
      </c>
      <c r="AR171" s="6" t="n">
        <v>0.44</v>
      </c>
      <c r="AS171" s="6" t="n">
        <v>0</v>
      </c>
      <c r="AT171" s="6" t="n">
        <v>0.05</v>
      </c>
      <c r="AU171" s="6" t="n">
        <v>0.07000000000000001</v>
      </c>
      <c r="AV171" s="6" t="n">
        <v>0.5600000000000001</v>
      </c>
      <c r="AW171" s="17" t="n">
        <v>-3.99251719023865</v>
      </c>
      <c r="AX171" t="inlineStr">
        <is>
          <t>118cr</t>
        </is>
      </c>
      <c r="AY171" s="26" t="n">
        <v>1.495690403463593</v>
      </c>
      <c r="AZ171" s="26" t="n">
        <v>1.288998876259128</v>
      </c>
      <c r="BA171" s="26" t="n">
        <v>0.5222366789553865</v>
      </c>
      <c r="BB171" s="28" t="n">
        <v>3</v>
      </c>
      <c r="BC171" t="n">
        <v>1</v>
      </c>
      <c r="BD171" t="n">
        <v>0</v>
      </c>
      <c r="BE171" t="n">
        <v>1</v>
      </c>
      <c r="BF171" t="n">
        <v>1</v>
      </c>
      <c r="BG171" t="n">
        <v>0</v>
      </c>
      <c r="BH171" t="n">
        <v>0</v>
      </c>
    </row>
    <row r="172">
      <c r="A172" s="15" t="inlineStr">
        <is>
          <t>category_avg_multicap</t>
        </is>
      </c>
      <c r="B172" s="15" t="n"/>
      <c r="C172" s="15" t="n"/>
      <c r="D172" s="15" t="n"/>
      <c r="E172" s="15" t="n"/>
      <c r="F172" s="16" t="n"/>
      <c r="G172" s="15" t="n"/>
      <c r="H172" s="15" t="n"/>
      <c r="I172" s="27" t="n">
        <v>3.32685486</v>
      </c>
      <c r="K172" s="27" t="n">
        <v>4.860917</v>
      </c>
      <c r="L172" s="27" t="n">
        <v>20.5331619</v>
      </c>
      <c r="N172" s="27" t="n">
        <v>18.889551</v>
      </c>
      <c r="O172" s="27" t="n">
        <v>20.02223066666667</v>
      </c>
      <c r="Q172" s="27" t="n">
        <v>19.279161</v>
      </c>
      <c r="R172" s="27" t="n">
        <v>15.96813725</v>
      </c>
      <c r="T172" s="27" t="n">
        <v>15.411422</v>
      </c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>
        <f>AVERAGE(AA151:AA171)</f>
        <v/>
      </c>
      <c r="AF172" s="15">
        <f>AVERAGE(AB151:AB171)</f>
        <v/>
      </c>
      <c r="AG172" s="15">
        <f>AVERAGE(AC151:AC171)</f>
        <v/>
      </c>
      <c r="AH172" s="15">
        <f>AVERAGE(AD151:AD171)</f>
        <v/>
      </c>
      <c r="AI172" s="15">
        <f>AVERAGE(AE151:AE171)</f>
        <v/>
      </c>
      <c r="AJ172" s="15" t="n"/>
      <c r="AK172" s="15" t="n"/>
      <c r="AL172" s="15" t="n"/>
      <c r="AM172" s="15" t="n"/>
      <c r="AN172" s="15" t="n"/>
      <c r="AO172" s="15" t="n"/>
      <c r="AP172" s="15" t="n"/>
      <c r="AQ172" s="15" t="n"/>
      <c r="AR172" s="15" t="n"/>
      <c r="AS172" s="15" t="n"/>
      <c r="AT172" s="15" t="n"/>
      <c r="AU172" s="15" t="n"/>
      <c r="AV172" s="25" t="n">
        <v>0.62</v>
      </c>
      <c r="AZ172" s="26" t="n">
        <v>1.288998876259128</v>
      </c>
    </row>
    <row r="173">
      <c r="A173" s="19" t="inlineStr">
        <is>
          <t>Aditya Birla Sun Life Business Cycle Fund</t>
        </is>
      </c>
      <c r="B173" s="19" t="inlineStr">
        <is>
          <t>sectorial:thematic</t>
        </is>
      </c>
      <c r="C173" s="19" t="inlineStr">
        <is>
          <t>BSE 500 TRI</t>
        </is>
      </c>
      <c r="D173" s="19" t="inlineStr">
        <is>
          <t>Very High</t>
        </is>
      </c>
      <c r="E173" s="19" t="inlineStr">
        <is>
          <t>Very High</t>
        </is>
      </c>
      <c r="F173" s="20" t="n">
        <v>46023</v>
      </c>
      <c r="G173" s="19" t="n">
        <v>15.62</v>
      </c>
      <c r="H173" s="19" t="n">
        <v>16.47</v>
      </c>
      <c r="I173" s="19" t="n">
        <v>5.3742805</v>
      </c>
      <c r="J173" s="19" t="n">
        <v>-1.914744499999999</v>
      </c>
      <c r="K173" s="19" t="n">
        <v>7.289025</v>
      </c>
      <c r="L173" s="19" t="n">
        <v>15.308629</v>
      </c>
      <c r="M173" s="19" t="n">
        <v>-1.105433000000001</v>
      </c>
      <c r="N173" s="19" t="n">
        <v>16.414062</v>
      </c>
      <c r="O173" s="19" t="n"/>
      <c r="P173" s="19" t="n"/>
      <c r="Q173" s="19" t="n"/>
      <c r="R173" s="19" t="n"/>
      <c r="S173" s="19" t="n"/>
      <c r="T173" s="19" t="n"/>
      <c r="U173" s="19" t="n">
        <v>13.001097</v>
      </c>
      <c r="V173" s="19" t="n">
        <v>1791.02</v>
      </c>
      <c r="W173" s="19" t="n">
        <v>-0.6437461946096781</v>
      </c>
      <c r="X173" s="19" t="n">
        <v>-0.9745432389385434</v>
      </c>
      <c r="Y173" s="19" t="n"/>
      <c r="Z173" s="19" t="n"/>
      <c r="AA173" s="19" t="n">
        <v>-0.3434165392714246</v>
      </c>
      <c r="AB173" s="19" t="n">
        <v>-0.7232598225037544</v>
      </c>
      <c r="AC173" s="19" t="n"/>
      <c r="AD173" s="19" t="n"/>
      <c r="AE173" s="19" t="n">
        <v>4.342017</v>
      </c>
      <c r="AF173" s="19" t="n"/>
      <c r="AG173" s="19" t="n">
        <v>14.006143</v>
      </c>
      <c r="AH173" s="19" t="n"/>
      <c r="AI173" s="19" t="n">
        <v>13.403856</v>
      </c>
      <c r="AJ173" s="19" t="n">
        <v>13.403856</v>
      </c>
      <c r="AK173" s="19" t="n">
        <v>11.543778</v>
      </c>
      <c r="AL173" s="19" t="inlineStr">
        <is>
          <t>Equity Scheme - Sectoral/ Thematic</t>
        </is>
      </c>
      <c r="AM173" s="19" t="n">
        <v>1.93</v>
      </c>
      <c r="AN173" s="19" t="n">
        <v>0</v>
      </c>
      <c r="AO173" s="19" t="n">
        <v>0.05</v>
      </c>
      <c r="AP173" s="19" t="n">
        <v>0.16</v>
      </c>
      <c r="AQ173" s="19" t="n">
        <v>2.14</v>
      </c>
      <c r="AR173" s="19" t="n">
        <v>0.95</v>
      </c>
      <c r="AS173" s="19" t="n">
        <v>0</v>
      </c>
      <c r="AT173" s="19" t="n">
        <v>0.05</v>
      </c>
      <c r="AU173" s="19" t="n">
        <v>0.16</v>
      </c>
      <c r="AV173" s="19" t="n">
        <v>1.16</v>
      </c>
      <c r="AW173" s="17" t="n">
        <v>0.5136737724871886</v>
      </c>
      <c r="AX173" s="18" t="inlineStr">
        <is>
          <t>-9cr</t>
        </is>
      </c>
      <c r="AY173" s="26" t="n">
        <v>1.536390367005339</v>
      </c>
      <c r="AZ173" s="26" t="n">
        <v>1.453221061498769</v>
      </c>
      <c r="BA173" s="26" t="n">
        <v>0.5013106060242712</v>
      </c>
      <c r="BB173" s="28" t="n">
        <v>2</v>
      </c>
      <c r="BC173" t="n">
        <v>1</v>
      </c>
      <c r="BD173" t="n">
        <v>1</v>
      </c>
      <c r="BE173" t="n">
        <v>0</v>
      </c>
      <c r="BF173" t="n">
        <v>0</v>
      </c>
      <c r="BG173" t="n">
        <v>0</v>
      </c>
      <c r="BH173" t="n">
        <v>0</v>
      </c>
    </row>
    <row r="174">
      <c r="A174" s="19" t="inlineStr">
        <is>
          <t>Aditya Birla Sun Life Conglomerate Fund</t>
        </is>
      </c>
      <c r="B174" s="19" t="inlineStr">
        <is>
          <t>sectorial:thematic</t>
        </is>
      </c>
      <c r="C174" s="19" t="inlineStr">
        <is>
          <t>BSE Select Business Groups Index TRI</t>
        </is>
      </c>
      <c r="D174" s="19" t="inlineStr">
        <is>
          <t>Very High</t>
        </is>
      </c>
      <c r="E174" s="19" t="inlineStr">
        <is>
          <t>Very High</t>
        </is>
      </c>
      <c r="F174" s="20" t="n">
        <v>46023</v>
      </c>
      <c r="G174" s="19" t="n">
        <v>10.93</v>
      </c>
      <c r="H174" s="19" t="n">
        <v>11.1</v>
      </c>
      <c r="I174" s="19" t="n">
        <v>10.667996</v>
      </c>
      <c r="J174" s="19" t="n">
        <v>-2.325984</v>
      </c>
      <c r="K174" s="19" t="n">
        <v>12.99398</v>
      </c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>
        <v>10.843571</v>
      </c>
      <c r="V174" s="19" t="n">
        <v>1785.8</v>
      </c>
      <c r="W174" s="19" t="n">
        <v>-0.7473919726620636</v>
      </c>
      <c r="X174" s="19" t="n">
        <v>-0.75191300761656</v>
      </c>
      <c r="Y174" s="19" t="n"/>
      <c r="Z174" s="19" t="n"/>
      <c r="AA174" s="19" t="n"/>
      <c r="AB174" s="19" t="n"/>
      <c r="AC174" s="19" t="n"/>
      <c r="AD174" s="19" t="n"/>
      <c r="AE174" s="19" t="n">
        <v>9.081837</v>
      </c>
      <c r="AF174" s="19" t="n"/>
      <c r="AG174" s="19" t="n"/>
      <c r="AH174" s="19" t="n"/>
      <c r="AI174" s="19" t="n">
        <v>13.010746</v>
      </c>
      <c r="AJ174" s="19" t="n">
        <v>13.010746</v>
      </c>
      <c r="AK174" s="19" t="n">
        <v>9.168733</v>
      </c>
      <c r="AL174" s="19" t="inlineStr">
        <is>
          <t>Equity Scheme - Sectoral/ Thematic</t>
        </is>
      </c>
      <c r="AM174" s="19" t="n">
        <v>1.93</v>
      </c>
      <c r="AN174" s="19" t="n">
        <v>0</v>
      </c>
      <c r="AO174" s="19" t="n">
        <v>0.05</v>
      </c>
      <c r="AP174" s="19" t="n">
        <v>0.11</v>
      </c>
      <c r="AQ174" s="19" t="n">
        <v>2.09</v>
      </c>
      <c r="AR174" s="19" t="n">
        <v>0.5600000000000001</v>
      </c>
      <c r="AS174" s="19" t="n">
        <v>0</v>
      </c>
      <c r="AT174" s="19" t="n">
        <v>0.05</v>
      </c>
      <c r="AU174" s="19" t="n">
        <v>0.11</v>
      </c>
      <c r="AV174" s="19" t="n">
        <v>0.72</v>
      </c>
      <c r="AY174" s="26" t="n">
        <v>1.433102292796017</v>
      </c>
      <c r="AZ174" s="26" t="n">
        <v>1.453221061498769</v>
      </c>
      <c r="BA174" s="26" t="n">
        <v>0.5788558985513693</v>
      </c>
      <c r="BB174" s="28" t="n">
        <v>3</v>
      </c>
      <c r="BC174" t="n">
        <v>1</v>
      </c>
      <c r="BD174" t="n">
        <v>0</v>
      </c>
      <c r="BE174" t="n">
        <v>1</v>
      </c>
      <c r="BF174" t="n">
        <v>0</v>
      </c>
      <c r="BG174" t="n">
        <v>0</v>
      </c>
      <c r="BH174" t="n">
        <v>1</v>
      </c>
    </row>
    <row r="175">
      <c r="A175" s="19" t="inlineStr">
        <is>
          <t>Aditya Birla Sun Life Consumption Fund</t>
        </is>
      </c>
      <c r="B175" s="19" t="inlineStr">
        <is>
          <t>sectorial:thematic</t>
        </is>
      </c>
      <c r="C175" s="19" t="inlineStr">
        <is>
          <t>Nifty India Consumption TRI</t>
        </is>
      </c>
      <c r="D175" s="19" t="inlineStr">
        <is>
          <t>Very High</t>
        </is>
      </c>
      <c r="E175" s="19" t="inlineStr">
        <is>
          <t>Very High</t>
        </is>
      </c>
      <c r="F175" s="20" t="n">
        <v>46023</v>
      </c>
      <c r="G175" s="19" t="n">
        <v>219.16</v>
      </c>
      <c r="H175" s="19" t="n">
        <v>251.82</v>
      </c>
      <c r="I175" s="19" t="n">
        <v>4.7547736</v>
      </c>
      <c r="J175" s="19" t="n">
        <v>-3.354939399999999</v>
      </c>
      <c r="K175" s="19" t="n">
        <v>8.109712999999999</v>
      </c>
      <c r="L175" s="19" t="n">
        <v>16.485958</v>
      </c>
      <c r="M175" s="19" t="n">
        <v>-2.020733</v>
      </c>
      <c r="N175" s="19" t="n">
        <v>18.506691</v>
      </c>
      <c r="O175" s="19" t="n">
        <v>17.056818</v>
      </c>
      <c r="P175" s="19" t="n">
        <v>0.2812689999999982</v>
      </c>
      <c r="Q175" s="19" t="n">
        <v>16.775549</v>
      </c>
      <c r="R175" s="19" t="n">
        <v>16.260117</v>
      </c>
      <c r="S175" s="19" t="n">
        <v>2.032640000000001</v>
      </c>
      <c r="T175" s="19" t="n">
        <v>14.227477</v>
      </c>
      <c r="U175" s="19" t="n">
        <v>17.100075</v>
      </c>
      <c r="V175" s="19" t="n">
        <v>6514.54</v>
      </c>
      <c r="W175" s="19" t="n">
        <v>-0.8533398378009405</v>
      </c>
      <c r="X175" s="19" t="n">
        <v>-1.121646262351061</v>
      </c>
      <c r="Y175" s="19" t="n">
        <v>0.2789113042458374</v>
      </c>
      <c r="Z175" s="19" t="n">
        <v>0.09406745393450057</v>
      </c>
      <c r="AA175" s="19" t="n">
        <v>-0.4439955071664389</v>
      </c>
      <c r="AB175" s="19" t="n">
        <v>-0.7038945766442877</v>
      </c>
      <c r="AC175" s="19" t="n">
        <v>0.02907887020320492</v>
      </c>
      <c r="AD175" s="19" t="n">
        <v>-0.1874277902343124</v>
      </c>
      <c r="AE175" s="19" t="n">
        <v>3.6658626</v>
      </c>
      <c r="AF175" s="19" t="n">
        <v>14.949329</v>
      </c>
      <c r="AG175" s="19" t="n">
        <v>15.230883</v>
      </c>
      <c r="AH175" s="19" t="n">
        <v>15.757546</v>
      </c>
      <c r="AI175" s="19" t="n"/>
      <c r="AJ175" s="19" t="n">
        <v>14.689265</v>
      </c>
      <c r="AK175" s="19" t="n">
        <v>16.319641</v>
      </c>
      <c r="AL175" s="19" t="inlineStr">
        <is>
          <t>Equity Scheme - Sectoral/ Thematic</t>
        </is>
      </c>
      <c r="AM175" s="19" t="n">
        <v>1.68</v>
      </c>
      <c r="AN175" s="19" t="n">
        <v>0</v>
      </c>
      <c r="AO175" s="19" t="n">
        <v>0.05</v>
      </c>
      <c r="AP175" s="19" t="n">
        <v>0.11</v>
      </c>
      <c r="AQ175" s="19" t="n">
        <v>1.84</v>
      </c>
      <c r="AR175" s="19" t="n">
        <v>0.63</v>
      </c>
      <c r="AS175" s="19" t="n">
        <v>0</v>
      </c>
      <c r="AT175" s="19" t="n">
        <v>0.05</v>
      </c>
      <c r="AU175" s="19" t="n">
        <v>0.11</v>
      </c>
      <c r="AV175" s="19" t="n">
        <v>0.79</v>
      </c>
      <c r="AW175" s="17" t="n">
        <v>0.3415436853561418</v>
      </c>
      <c r="AX175" s="18" t="inlineStr">
        <is>
          <t>-22cr</t>
        </is>
      </c>
      <c r="AY175" s="26" t="n">
        <v>0.8726949238687188</v>
      </c>
      <c r="AZ175" s="26" t="n">
        <v>1.453221061498769</v>
      </c>
      <c r="BA175" s="26" t="n">
        <v>0.4511743303197097</v>
      </c>
      <c r="BB175" s="28" t="n">
        <v>4</v>
      </c>
      <c r="BC175" t="n">
        <v>1</v>
      </c>
      <c r="BD175" t="n">
        <v>1</v>
      </c>
      <c r="BE175" t="n">
        <v>1</v>
      </c>
      <c r="BF175" t="n">
        <v>0</v>
      </c>
      <c r="BG175" t="n">
        <v>0</v>
      </c>
      <c r="BH175" t="n">
        <v>1</v>
      </c>
    </row>
    <row r="176">
      <c r="A176" s="19" t="inlineStr">
        <is>
          <t>Aditya Birla Sun Life Digital India Fund</t>
        </is>
      </c>
      <c r="B176" s="19" t="inlineStr">
        <is>
          <t>sectorial:thematic</t>
        </is>
      </c>
      <c r="C176" s="19" t="inlineStr">
        <is>
          <t>BSE Teck TRI</t>
        </is>
      </c>
      <c r="D176" s="19" t="inlineStr">
        <is>
          <t>Very High</t>
        </is>
      </c>
      <c r="E176" s="19" t="inlineStr">
        <is>
          <t>Very High</t>
        </is>
      </c>
      <c r="F176" s="20" t="n">
        <v>46023</v>
      </c>
      <c r="G176" s="19" t="n">
        <v>177.41</v>
      </c>
      <c r="H176" s="19" t="n">
        <v>200.58</v>
      </c>
      <c r="I176" s="19" t="n">
        <v>-4.060841</v>
      </c>
      <c r="J176" s="19" t="n">
        <v>-1.410535</v>
      </c>
      <c r="K176" s="19" t="n">
        <v>-2.650306</v>
      </c>
      <c r="L176" s="19" t="n">
        <v>16.358675</v>
      </c>
      <c r="M176" s="19" t="n">
        <v>2.724202000000002</v>
      </c>
      <c r="N176" s="19" t="n">
        <v>13.634473</v>
      </c>
      <c r="O176" s="19" t="n">
        <v>16.519411</v>
      </c>
      <c r="P176" s="19" t="n">
        <v>3.856967000000001</v>
      </c>
      <c r="Q176" s="19" t="n">
        <v>12.662444</v>
      </c>
      <c r="R176" s="19" t="n">
        <v>18.28458</v>
      </c>
      <c r="S176" s="19" t="n">
        <v>4.332000999999998</v>
      </c>
      <c r="T176" s="19" t="n">
        <v>13.952579</v>
      </c>
      <c r="U176" s="19" t="n">
        <v>20.284641</v>
      </c>
      <c r="V176" s="19" t="n">
        <v>4857.53</v>
      </c>
      <c r="W176" s="19" t="n">
        <v>-0.2622529845627992</v>
      </c>
      <c r="X176" s="19" t="n">
        <v>-0.4465544543434587</v>
      </c>
      <c r="Y176" s="19" t="n">
        <v>0.5564177273625736</v>
      </c>
      <c r="Z176" s="19" t="n">
        <v>0.3978431625280905</v>
      </c>
      <c r="AA176" s="19" t="n">
        <v>0.4655821520484715</v>
      </c>
      <c r="AB176" s="19" t="n">
        <v>0.2391862392130466</v>
      </c>
      <c r="AC176" s="19" t="n">
        <v>0.6397177035541152</v>
      </c>
      <c r="AD176" s="19" t="n">
        <v>0.4130450435578241</v>
      </c>
      <c r="AE176" s="19" t="n">
        <v>-5.057262</v>
      </c>
      <c r="AF176" s="19" t="n">
        <v>17.098877</v>
      </c>
      <c r="AG176" s="19" t="n">
        <v>15.090709</v>
      </c>
      <c r="AH176" s="19" t="n">
        <v>15.1782055</v>
      </c>
      <c r="AI176" s="19" t="n"/>
      <c r="AJ176" s="19" t="n">
        <v>15.887699</v>
      </c>
      <c r="AK176" s="19" t="n">
        <v>11.70512</v>
      </c>
      <c r="AL176" s="19" t="inlineStr">
        <is>
          <t>Equity Scheme - Sectoral/ Thematic</t>
        </is>
      </c>
      <c r="AM176" s="19" t="n">
        <v>1.72</v>
      </c>
      <c r="AN176" s="19" t="n">
        <v>0</v>
      </c>
      <c r="AO176" s="19" t="n">
        <v>0.05</v>
      </c>
      <c r="AP176" s="19" t="n">
        <v>0.11</v>
      </c>
      <c r="AQ176" s="19" t="n">
        <v>1.88</v>
      </c>
      <c r="AR176" s="19" t="n">
        <v>0.64</v>
      </c>
      <c r="AS176" s="19" t="n">
        <v>0</v>
      </c>
      <c r="AT176" s="19" t="n">
        <v>0.05</v>
      </c>
      <c r="AU176" s="19" t="n">
        <v>0.11</v>
      </c>
      <c r="AV176" s="19" t="n">
        <v>0.8</v>
      </c>
      <c r="AW176" s="17" t="n">
        <v>0.1408123058426844</v>
      </c>
      <c r="AX176" s="18" t="inlineStr">
        <is>
          <t>-7cr</t>
        </is>
      </c>
      <c r="AY176" s="26" t="n">
        <v>2.989368972164482</v>
      </c>
      <c r="AZ176" s="26" t="n">
        <v>1.453221061498769</v>
      </c>
      <c r="BA176" s="26" t="n">
        <v>0.7519249751788936</v>
      </c>
      <c r="BB176" s="28" t="n">
        <v>2</v>
      </c>
      <c r="BC176" t="n">
        <v>0</v>
      </c>
      <c r="BD176" t="n">
        <v>1</v>
      </c>
      <c r="BE176" t="n">
        <v>1</v>
      </c>
      <c r="BF176" t="n">
        <v>0</v>
      </c>
      <c r="BG176" t="n">
        <v>0</v>
      </c>
      <c r="BH176" t="n">
        <v>0</v>
      </c>
    </row>
    <row r="177">
      <c r="A177" s="19" t="inlineStr">
        <is>
          <t>Aditya Birla Sun Life ESG Integration Strategy Fund</t>
        </is>
      </c>
      <c r="B177" s="19" t="inlineStr">
        <is>
          <t>sectorial:thematic</t>
        </is>
      </c>
      <c r="C177" s="19" t="inlineStr">
        <is>
          <t>Nifty 100 ESG TRI</t>
        </is>
      </c>
      <c r="D177" s="19" t="inlineStr">
        <is>
          <t>Very High</t>
        </is>
      </c>
      <c r="E177" s="19" t="inlineStr">
        <is>
          <t>Very High</t>
        </is>
      </c>
      <c r="F177" s="20" t="n">
        <v>46023</v>
      </c>
      <c r="G177" s="19" t="n">
        <v>18.56</v>
      </c>
      <c r="H177" s="19" t="n">
        <v>19.93</v>
      </c>
      <c r="I177" s="19" t="n">
        <v>5.28262</v>
      </c>
      <c r="J177" s="19" t="n">
        <v>-6.504068</v>
      </c>
      <c r="K177" s="19" t="n">
        <v>11.786688</v>
      </c>
      <c r="L177" s="19" t="n">
        <v>17.14953</v>
      </c>
      <c r="M177" s="19" t="n">
        <v>1.157158999999998</v>
      </c>
      <c r="N177" s="19" t="n">
        <v>15.992371</v>
      </c>
      <c r="O177" s="19" t="n">
        <v>14.620709</v>
      </c>
      <c r="P177" s="19" t="n">
        <v>-0.1979310000000005</v>
      </c>
      <c r="Q177" s="19" t="n">
        <v>14.81864</v>
      </c>
      <c r="R177" s="19" t="n"/>
      <c r="S177" s="19" t="n"/>
      <c r="T177" s="19" t="n"/>
      <c r="U177" s="19" t="n">
        <v>14.711644</v>
      </c>
      <c r="V177" s="19" t="n">
        <v>617.66</v>
      </c>
      <c r="W177" s="19" t="n">
        <v>-1.680015519752351</v>
      </c>
      <c r="X177" s="19" t="n">
        <v>-1.962922456786131</v>
      </c>
      <c r="Y177" s="19" t="n"/>
      <c r="Z177" s="19" t="n"/>
      <c r="AA177" s="19" t="n">
        <v>0.2331010902502407</v>
      </c>
      <c r="AB177" s="19" t="n">
        <v>-0.05551244855073251</v>
      </c>
      <c r="AC177" s="19" t="n">
        <v>-0.03427381910683754</v>
      </c>
      <c r="AD177" s="19" t="n">
        <v>-0.3436532612569212</v>
      </c>
      <c r="AE177" s="19" t="n">
        <v>4.2111173</v>
      </c>
      <c r="AF177" s="19" t="n"/>
      <c r="AG177" s="19" t="n">
        <v>15.793293</v>
      </c>
      <c r="AH177" s="19" t="n">
        <v>13.023009</v>
      </c>
      <c r="AI177" s="19" t="n">
        <v>15.226444</v>
      </c>
      <c r="AJ177" s="19" t="n">
        <v>15.226444</v>
      </c>
      <c r="AK177" s="19" t="n">
        <v>13.097237</v>
      </c>
      <c r="AL177" s="19" t="inlineStr">
        <is>
          <t>Equity Scheme - Sectoral/ Thematic</t>
        </is>
      </c>
      <c r="AM177" s="19" t="n">
        <v>2.21</v>
      </c>
      <c r="AN177" s="19" t="n">
        <v>0</v>
      </c>
      <c r="AO177" s="19" t="n">
        <v>0.05</v>
      </c>
      <c r="AP177" s="19" t="n">
        <v>0.21</v>
      </c>
      <c r="AQ177" s="19" t="n">
        <v>2.47</v>
      </c>
      <c r="AR177" s="19" t="n">
        <v>1.15</v>
      </c>
      <c r="AS177" s="19" t="n">
        <v>0</v>
      </c>
      <c r="AT177" s="19" t="n">
        <v>0.05</v>
      </c>
      <c r="AU177" s="19" t="n">
        <v>0.21</v>
      </c>
      <c r="AV177" s="19" t="n">
        <v>1.41</v>
      </c>
      <c r="AW177" s="17" t="n">
        <v>0.7026519444354551</v>
      </c>
      <c r="AX177" s="18" t="inlineStr">
        <is>
          <t>-4cr</t>
        </is>
      </c>
      <c r="AY177" s="26" t="n">
        <v>1.56102950145837</v>
      </c>
      <c r="AZ177" s="26" t="n">
        <v>1.453221061498769</v>
      </c>
      <c r="BA177" s="26" t="n">
        <v>0.5057520602823526</v>
      </c>
      <c r="BB177" s="28" t="n">
        <v>2</v>
      </c>
      <c r="BC177" t="n">
        <v>1</v>
      </c>
      <c r="BD177" t="n">
        <v>1</v>
      </c>
      <c r="BE177" t="n">
        <v>0</v>
      </c>
      <c r="BF177" t="n">
        <v>0</v>
      </c>
      <c r="BG177" t="n">
        <v>0</v>
      </c>
      <c r="BH177" t="n">
        <v>0</v>
      </c>
    </row>
    <row r="178">
      <c r="A178" s="19" t="inlineStr">
        <is>
          <t>Aditya Birla Sun Life Infrastructure Fund</t>
        </is>
      </c>
      <c r="B178" s="19" t="inlineStr">
        <is>
          <t>sectorial:thematic</t>
        </is>
      </c>
      <c r="C178" s="19" t="inlineStr">
        <is>
          <t>Nifty Infrastructure TRI</t>
        </is>
      </c>
      <c r="D178" s="19" t="inlineStr">
        <is>
          <t>Very High</t>
        </is>
      </c>
      <c r="E178" s="19" t="inlineStr">
        <is>
          <t>Very High</t>
        </is>
      </c>
      <c r="F178" s="20" t="n">
        <v>46023</v>
      </c>
      <c r="G178" s="19" t="n">
        <v>95.04000000000001</v>
      </c>
      <c r="H178" s="19" t="n">
        <v>105.24</v>
      </c>
      <c r="I178" s="19" t="n">
        <v>1.3970517</v>
      </c>
      <c r="J178" s="19" t="n">
        <v>-13.4891293</v>
      </c>
      <c r="K178" s="19" t="n">
        <v>14.886181</v>
      </c>
      <c r="L178" s="19" t="n">
        <v>22.83254</v>
      </c>
      <c r="M178" s="19" t="n">
        <v>-0.685096999999999</v>
      </c>
      <c r="N178" s="19" t="n">
        <v>23.517637</v>
      </c>
      <c r="O178" s="19" t="n">
        <v>24.101828</v>
      </c>
      <c r="P178" s="19" t="n">
        <v>1.444622000000003</v>
      </c>
      <c r="Q178" s="19" t="n">
        <v>22.657206</v>
      </c>
      <c r="R178" s="19" t="n">
        <v>14.874221</v>
      </c>
      <c r="S178" s="19" t="n">
        <v>0.0909519999999997</v>
      </c>
      <c r="T178" s="19" t="n">
        <v>14.783269</v>
      </c>
      <c r="U178" s="19" t="n">
        <v>15.409079</v>
      </c>
      <c r="V178" s="19" t="n">
        <v>1115.53</v>
      </c>
      <c r="W178" s="19" t="n">
        <v>-1.767451503606844</v>
      </c>
      <c r="X178" s="19" t="n">
        <v>-1.891375801153375</v>
      </c>
      <c r="Y178" s="19" t="n">
        <v>0.01095905429566994</v>
      </c>
      <c r="Z178" s="19" t="n">
        <v>-0.07467704495222129</v>
      </c>
      <c r="AA178" s="19" t="n">
        <v>-0.08416250627692701</v>
      </c>
      <c r="AB178" s="19" t="n">
        <v>-0.2126330286128293</v>
      </c>
      <c r="AC178" s="19" t="n">
        <v>0.1581212142282295</v>
      </c>
      <c r="AD178" s="19" t="n">
        <v>0.05008141270722739</v>
      </c>
      <c r="AE178" s="19" t="n">
        <v>0.5182443</v>
      </c>
      <c r="AF178" s="19" t="n">
        <v>13.959539</v>
      </c>
      <c r="AG178" s="19" t="n">
        <v>21.763205</v>
      </c>
      <c r="AH178" s="19" t="n">
        <v>23.057783</v>
      </c>
      <c r="AI178" s="19" t="n">
        <v>8.338304000000001</v>
      </c>
      <c r="AJ178" s="19" t="n">
        <v>12.025623</v>
      </c>
      <c r="AK178" s="19" t="n">
        <v>12.03887</v>
      </c>
      <c r="AL178" s="19" t="inlineStr">
        <is>
          <t>Equity Scheme - Sectoral/ Thematic</t>
        </is>
      </c>
      <c r="AM178" s="19" t="n">
        <v>2.04</v>
      </c>
      <c r="AN178" s="19" t="n">
        <v>0</v>
      </c>
      <c r="AO178" s="19" t="n">
        <v>0.05</v>
      </c>
      <c r="AP178" s="19" t="n">
        <v>0.21</v>
      </c>
      <c r="AQ178" s="19" t="n">
        <v>2.3</v>
      </c>
      <c r="AR178" s="19" t="n">
        <v>1.18</v>
      </c>
      <c r="AS178" s="19" t="n">
        <v>0</v>
      </c>
      <c r="AT178" s="19" t="n">
        <v>0.05</v>
      </c>
      <c r="AU178" s="19" t="n">
        <v>0.21</v>
      </c>
      <c r="AV178" s="19" t="n">
        <v>1.44</v>
      </c>
      <c r="AW178" s="17" t="n">
        <v>2.164890231549137</v>
      </c>
      <c r="AX178" s="18" t="inlineStr">
        <is>
          <t>-24cr</t>
        </is>
      </c>
      <c r="AY178" s="26" t="n">
        <v>1.250933981286452</v>
      </c>
      <c r="AZ178" s="26" t="n">
        <v>1.453221061498769</v>
      </c>
      <c r="BA178" s="26" t="n">
        <v>0.5852479470774112</v>
      </c>
      <c r="BB178" s="28" t="n">
        <v>2</v>
      </c>
      <c r="BC178" t="n">
        <v>0</v>
      </c>
      <c r="BD178" t="n">
        <v>1</v>
      </c>
      <c r="BE178" t="n">
        <v>0</v>
      </c>
      <c r="BF178" t="n">
        <v>0</v>
      </c>
      <c r="BG178" t="n">
        <v>0</v>
      </c>
      <c r="BH178" t="n">
        <v>1</v>
      </c>
    </row>
    <row r="179">
      <c r="A179" s="19" t="inlineStr">
        <is>
          <t>Aditya Birla Sun Life International Equity Fund</t>
        </is>
      </c>
      <c r="B179" s="19" t="inlineStr">
        <is>
          <t>sectorial:thematic</t>
        </is>
      </c>
      <c r="C179" s="19" t="inlineStr">
        <is>
          <t>S&amp;P Global 1200 TRI</t>
        </is>
      </c>
      <c r="D179" s="19" t="inlineStr">
        <is>
          <t>Very High</t>
        </is>
      </c>
      <c r="E179" s="19" t="inlineStr">
        <is>
          <t>Very High</t>
        </is>
      </c>
      <c r="F179" s="20" t="n">
        <v>46023</v>
      </c>
      <c r="G179" s="19" t="n">
        <v>46.7589</v>
      </c>
      <c r="H179" s="19" t="n">
        <v>50.5146</v>
      </c>
      <c r="I179" s="19" t="n">
        <v>35.624958</v>
      </c>
      <c r="J179" s="19" t="n"/>
      <c r="K179" s="19" t="n"/>
      <c r="L179" s="19" t="n">
        <v>16.930265</v>
      </c>
      <c r="M179" s="19" t="n"/>
      <c r="N179" s="19" t="n"/>
      <c r="O179" s="19" t="n">
        <v>12.463739</v>
      </c>
      <c r="P179" s="19" t="n"/>
      <c r="Q179" s="19" t="n"/>
      <c r="R179" s="19" t="n">
        <v>11.805056</v>
      </c>
      <c r="S179" s="19" t="n"/>
      <c r="T179" s="19" t="n"/>
      <c r="U179" s="19" t="n">
        <v>11.74699</v>
      </c>
      <c r="V179" s="19" t="n">
        <v>276.07</v>
      </c>
      <c r="W179" s="19" t="n">
        <v>1.802739511565434</v>
      </c>
      <c r="X179" s="19" t="n">
        <v>1.761428514835601</v>
      </c>
      <c r="Y179" s="19" t="n">
        <v>-0.2010654987381473</v>
      </c>
      <c r="Z179" s="19" t="n">
        <v>-0.2343177132373515</v>
      </c>
      <c r="AA179" s="19" t="n">
        <v>-0.7332750759624554</v>
      </c>
      <c r="AB179" s="19" t="n">
        <v>-0.7982053172494721</v>
      </c>
      <c r="AC179" s="19" t="n">
        <v>-0.2767721458546228</v>
      </c>
      <c r="AD179" s="19" t="n">
        <v>-0.3235337011944924</v>
      </c>
      <c r="AE179" s="19" t="n">
        <v>35.007103</v>
      </c>
      <c r="AF179" s="19" t="n">
        <v>11.126258</v>
      </c>
      <c r="AG179" s="19" t="n">
        <v>16.24972</v>
      </c>
      <c r="AH179" s="19" t="n">
        <v>11.706414</v>
      </c>
      <c r="AI179" s="19" t="n"/>
      <c r="AJ179" s="19" t="n"/>
      <c r="AK179" s="19" t="n">
        <v>8.852650000000001</v>
      </c>
      <c r="AL179" s="19" t="inlineStr">
        <is>
          <t>Equity Scheme - Sectoral/ Thematic</t>
        </is>
      </c>
      <c r="AM179" s="19" t="n">
        <v>2.23</v>
      </c>
      <c r="AN179" s="19" t="n">
        <v>0</v>
      </c>
      <c r="AO179" s="19" t="n">
        <v>0.05</v>
      </c>
      <c r="AP179" s="19" t="n">
        <v>0.25</v>
      </c>
      <c r="AQ179" s="19" t="n">
        <v>2.53</v>
      </c>
      <c r="AR179" s="19" t="n">
        <v>1.76</v>
      </c>
      <c r="AS179" s="19" t="n">
        <v>0</v>
      </c>
      <c r="AT179" s="19" t="n">
        <v>0.05</v>
      </c>
      <c r="AU179" s="19" t="n">
        <v>0.25</v>
      </c>
      <c r="AV179" s="19" t="n">
        <v>2.06</v>
      </c>
      <c r="AW179" s="17" t="n">
        <v>-1.253305321114203</v>
      </c>
      <c r="AX179" t="inlineStr">
        <is>
          <t>3cr</t>
        </is>
      </c>
      <c r="AY179" s="26" t="n">
        <v>1.8088667239685</v>
      </c>
      <c r="AZ179" s="26" t="n">
        <v>1.453221061498769</v>
      </c>
      <c r="BA179" s="26" t="n">
        <v>0.8624728376671889</v>
      </c>
      <c r="BB179" s="28" t="n">
        <v>2</v>
      </c>
      <c r="BC179" t="n">
        <v>1</v>
      </c>
      <c r="BD179" t="n">
        <v>0</v>
      </c>
      <c r="BE179" t="n">
        <v>0</v>
      </c>
      <c r="BF179" t="n">
        <v>0</v>
      </c>
      <c r="BG179" t="n">
        <v>1</v>
      </c>
      <c r="BH179" t="n">
        <v>0</v>
      </c>
    </row>
    <row r="180">
      <c r="A180" s="19" t="inlineStr">
        <is>
          <t>Aditya Birla Sun Life Manufacturing Equity Fund</t>
        </is>
      </c>
      <c r="B180" s="19" t="inlineStr">
        <is>
          <t>sectorial:thematic</t>
        </is>
      </c>
      <c r="C180" s="19" t="inlineStr">
        <is>
          <t>BSE India Manufacturing TRI</t>
        </is>
      </c>
      <c r="D180" s="19" t="inlineStr">
        <is>
          <t>Very High</t>
        </is>
      </c>
      <c r="E180" s="19" t="inlineStr">
        <is>
          <t>Very High</t>
        </is>
      </c>
      <c r="F180" s="20" t="n">
        <v>46023</v>
      </c>
      <c r="G180" s="19" t="n">
        <v>33.5</v>
      </c>
      <c r="H180" s="19" t="n">
        <v>37</v>
      </c>
      <c r="I180" s="19" t="n">
        <v>3.815937</v>
      </c>
      <c r="J180" s="19" t="n">
        <v>-9.253337999999999</v>
      </c>
      <c r="K180" s="19" t="n">
        <v>13.069275</v>
      </c>
      <c r="L180" s="19" t="n">
        <v>20.85153</v>
      </c>
      <c r="M180" s="19" t="n">
        <v>1.162523</v>
      </c>
      <c r="N180" s="19" t="n">
        <v>19.689007</v>
      </c>
      <c r="O180" s="19" t="n">
        <v>16.532686</v>
      </c>
      <c r="P180" s="19" t="n">
        <v>-2.443206999999997</v>
      </c>
      <c r="Q180" s="19" t="n">
        <v>18.975893</v>
      </c>
      <c r="R180" s="19" t="n">
        <v>13.931423</v>
      </c>
      <c r="S180" s="19" t="n">
        <v>-0.7225739999999998</v>
      </c>
      <c r="T180" s="19" t="n">
        <v>14.653997</v>
      </c>
      <c r="U180" s="19" t="n">
        <v>12.731055</v>
      </c>
      <c r="V180" s="19" t="n">
        <v>1102.07</v>
      </c>
      <c r="W180" s="19" t="n">
        <v>-1.186368766919982</v>
      </c>
      <c r="X180" s="19" t="n">
        <v>-1.316753606068155</v>
      </c>
      <c r="Y180" s="19" t="n">
        <v>-0.1143701802196443</v>
      </c>
      <c r="Z180" s="19" t="n">
        <v>-0.24998510468403</v>
      </c>
      <c r="AA180" s="19" t="n">
        <v>0.1738858865178913</v>
      </c>
      <c r="AB180" s="19" t="n">
        <v>0.0311952614669801</v>
      </c>
      <c r="AC180" s="19" t="n">
        <v>-0.3207289611728063</v>
      </c>
      <c r="AD180" s="19" t="n">
        <v>-0.4630776370364452</v>
      </c>
      <c r="AE180" s="19" t="n">
        <v>2.8238182</v>
      </c>
      <c r="AF180" s="19" t="n">
        <v>12.884752</v>
      </c>
      <c r="AG180" s="19" t="n">
        <v>19.728283</v>
      </c>
      <c r="AH180" s="19" t="n">
        <v>15.473926</v>
      </c>
      <c r="AI180" s="19" t="n">
        <v>12.594266</v>
      </c>
      <c r="AJ180" s="19" t="n">
        <v>12.594266</v>
      </c>
      <c r="AK180" s="19" t="n">
        <v>11.709647</v>
      </c>
      <c r="AL180" s="19" t="inlineStr">
        <is>
          <t>Equity Scheme - Sectoral/ Thematic</t>
        </is>
      </c>
      <c r="AM180" s="19" t="n">
        <v>2.03</v>
      </c>
      <c r="AN180" s="19" t="n">
        <v>0</v>
      </c>
      <c r="AO180" s="19" t="n">
        <v>0.05</v>
      </c>
      <c r="AP180" s="19" t="n">
        <v>0.19</v>
      </c>
      <c r="AQ180" s="19" t="n">
        <v>2.27</v>
      </c>
      <c r="AR180" s="19" t="n">
        <v>1.09</v>
      </c>
      <c r="AS180" s="19" t="n">
        <v>0</v>
      </c>
      <c r="AT180" s="19" t="n">
        <v>0.05</v>
      </c>
      <c r="AU180" s="19" t="n">
        <v>0.19</v>
      </c>
      <c r="AV180" s="19" t="n">
        <v>1.34</v>
      </c>
      <c r="AW180" s="17" t="n">
        <v>0.546244793887864</v>
      </c>
      <c r="AX180" s="18" t="inlineStr">
        <is>
          <t>-6cr</t>
        </is>
      </c>
      <c r="AY180" s="26" t="n">
        <v>1.300309008464058</v>
      </c>
      <c r="AZ180" s="26" t="n">
        <v>1.453221061498769</v>
      </c>
      <c r="BA180" s="26" t="n">
        <v>0.6129697381856244</v>
      </c>
      <c r="BB180" s="28" t="n">
        <v>2</v>
      </c>
      <c r="BC180" t="n">
        <v>0</v>
      </c>
      <c r="BD180" t="n">
        <v>1</v>
      </c>
      <c r="BE180" t="n">
        <v>0</v>
      </c>
      <c r="BF180" t="n">
        <v>0</v>
      </c>
      <c r="BG180" t="n">
        <v>0</v>
      </c>
      <c r="BH180" t="n">
        <v>1</v>
      </c>
    </row>
    <row r="181">
      <c r="A181" s="19" t="inlineStr">
        <is>
          <t>Aditya Birla Sun Life MNC Fund</t>
        </is>
      </c>
      <c r="B181" s="19" t="inlineStr">
        <is>
          <t>sectorial:thematic</t>
        </is>
      </c>
      <c r="C181" s="19" t="inlineStr">
        <is>
          <t>Nifty MNC TRI</t>
        </is>
      </c>
      <c r="D181" s="19" t="inlineStr">
        <is>
          <t>Very High</t>
        </is>
      </c>
      <c r="E181" s="19" t="inlineStr">
        <is>
          <t>Very High</t>
        </is>
      </c>
      <c r="F181" s="20" t="n">
        <v>46023</v>
      </c>
      <c r="G181" s="19" t="n">
        <v>1334.78</v>
      </c>
      <c r="H181" s="19" t="n">
        <v>1490.11</v>
      </c>
      <c r="I181" s="19" t="n">
        <v>-0.67257696</v>
      </c>
      <c r="J181" s="19" t="n">
        <v>-10.97904096</v>
      </c>
      <c r="K181" s="19" t="n">
        <v>10.306464</v>
      </c>
      <c r="L181" s="19" t="n">
        <v>13.403901</v>
      </c>
      <c r="M181" s="19" t="n">
        <v>-3.662377000000001</v>
      </c>
      <c r="N181" s="19" t="n">
        <v>17.066278</v>
      </c>
      <c r="O181" s="19" t="n">
        <v>9.432213000000001</v>
      </c>
      <c r="P181" s="19" t="n">
        <v>-6.167149999999999</v>
      </c>
      <c r="Q181" s="19" t="n">
        <v>15.599363</v>
      </c>
      <c r="R181" s="19" t="n">
        <v>9.386875</v>
      </c>
      <c r="S181" s="19" t="n">
        <v>-4.456173</v>
      </c>
      <c r="T181" s="19" t="n">
        <v>13.843048</v>
      </c>
      <c r="U181" s="19" t="n">
        <v>14.154343</v>
      </c>
      <c r="V181" s="19" t="n">
        <v>3575.96</v>
      </c>
      <c r="W181" s="19" t="n">
        <v>-1.746627952443169</v>
      </c>
      <c r="X181" s="19" t="n">
        <v>-1.859469931096526</v>
      </c>
      <c r="Y181" s="19" t="n">
        <v>-0.5521996901416719</v>
      </c>
      <c r="Z181" s="19" t="n">
        <v>-0.6643189277537144</v>
      </c>
      <c r="AA181" s="19" t="n">
        <v>-0.5440253345855723</v>
      </c>
      <c r="AB181" s="19" t="n">
        <v>-0.6605295783162094</v>
      </c>
      <c r="AC181" s="19" t="n">
        <v>-0.8559741291327135</v>
      </c>
      <c r="AD181" s="19" t="n">
        <v>-0.9677151747906709</v>
      </c>
      <c r="AE181" s="19" t="n">
        <v>-1.3502827</v>
      </c>
      <c r="AF181" s="19" t="n">
        <v>8.437135</v>
      </c>
      <c r="AG181" s="19" t="n">
        <v>12.604877</v>
      </c>
      <c r="AH181" s="19" t="n">
        <v>8.627300999999999</v>
      </c>
      <c r="AI181" s="19" t="n">
        <v>13.34169</v>
      </c>
      <c r="AJ181" s="19" t="n">
        <v>15.045706</v>
      </c>
      <c r="AK181" s="19" t="n">
        <v>14.874375</v>
      </c>
      <c r="AL181" s="19" t="inlineStr">
        <is>
          <t>Equity Scheme - Sectoral/ Thematic</t>
        </is>
      </c>
      <c r="AM181" s="19" t="n">
        <v>1.78</v>
      </c>
      <c r="AN181" s="19" t="n">
        <v>0</v>
      </c>
      <c r="AO181" s="19" t="n">
        <v>0.05</v>
      </c>
      <c r="AP181" s="19" t="n">
        <v>0.19</v>
      </c>
      <c r="AQ181" s="19" t="n">
        <v>2.02</v>
      </c>
      <c r="AR181" s="19" t="n">
        <v>1.07</v>
      </c>
      <c r="AS181" s="19" t="n">
        <v>0</v>
      </c>
      <c r="AT181" s="19" t="n">
        <v>0.05</v>
      </c>
      <c r="AU181" s="19" t="n">
        <v>0.19</v>
      </c>
      <c r="AV181" s="19" t="n">
        <v>1.31</v>
      </c>
      <c r="AW181" s="17" t="n">
        <v>1.638441145874119</v>
      </c>
      <c r="AX181" s="18" t="inlineStr">
        <is>
          <t>-59cr</t>
        </is>
      </c>
      <c r="AY181" s="26" t="n">
        <v>1.415249895303089</v>
      </c>
      <c r="AZ181" s="26" t="n">
        <v>1.453221061498769</v>
      </c>
      <c r="BA181" s="26" t="n">
        <v>0.4205563329526433</v>
      </c>
      <c r="BB181" s="28" t="n">
        <v>2</v>
      </c>
      <c r="BC181" t="n">
        <v>0</v>
      </c>
      <c r="BD181" t="n">
        <v>1</v>
      </c>
      <c r="BE181" t="n">
        <v>0</v>
      </c>
      <c r="BF181" t="n">
        <v>0</v>
      </c>
      <c r="BG181" t="n">
        <v>0</v>
      </c>
      <c r="BH181" t="n">
        <v>1</v>
      </c>
    </row>
    <row r="182">
      <c r="A182" s="19" t="inlineStr">
        <is>
          <t>Aditya Birla Sun Life PSU Equity Fund</t>
        </is>
      </c>
      <c r="B182" s="19" t="inlineStr">
        <is>
          <t>sectorial:thematic</t>
        </is>
      </c>
      <c r="C182" s="19" t="inlineStr">
        <is>
          <t>BSE PSU TRI</t>
        </is>
      </c>
      <c r="D182" s="19" t="inlineStr">
        <is>
          <t>Very High</t>
        </is>
      </c>
      <c r="E182" s="19" t="inlineStr">
        <is>
          <t>Very High</t>
        </is>
      </c>
      <c r="F182" s="20" t="n">
        <v>46023</v>
      </c>
      <c r="G182" s="19" t="n">
        <v>34.88</v>
      </c>
      <c r="H182" s="19" t="n">
        <v>38.32</v>
      </c>
      <c r="I182" s="19" t="n">
        <v>11.883212</v>
      </c>
      <c r="J182" s="19" t="n">
        <v>-0.286308</v>
      </c>
      <c r="K182" s="19" t="n">
        <v>12.16952</v>
      </c>
      <c r="L182" s="19" t="n">
        <v>27.942564</v>
      </c>
      <c r="M182" s="19" t="n">
        <v>-3.192893999999999</v>
      </c>
      <c r="N182" s="19" t="n">
        <v>31.135458</v>
      </c>
      <c r="O182" s="19" t="n">
        <v>30.518324</v>
      </c>
      <c r="P182" s="19" t="n">
        <v>-2.988520000000001</v>
      </c>
      <c r="Q182" s="19" t="n">
        <v>33.506844</v>
      </c>
      <c r="R182" s="19" t="n"/>
      <c r="S182" s="19" t="n"/>
      <c r="T182" s="19" t="n"/>
      <c r="U182" s="19" t="n">
        <v>25.05601</v>
      </c>
      <c r="V182" s="19" t="n">
        <v>5670.38</v>
      </c>
      <c r="W182" s="19" t="n">
        <v>-0.1657471963201645</v>
      </c>
      <c r="X182" s="19" t="n">
        <v>-0.5413890439070779</v>
      </c>
      <c r="Y182" s="19" t="n"/>
      <c r="Z182" s="19" t="n"/>
      <c r="AA182" s="19" t="n">
        <v>-0.7014934160793896</v>
      </c>
      <c r="AB182" s="19" t="n">
        <v>-1.031506671034107</v>
      </c>
      <c r="AC182" s="19" t="n">
        <v>-0.5967604448713987</v>
      </c>
      <c r="AD182" s="19" t="n">
        <v>-0.945547209577453</v>
      </c>
      <c r="AE182" s="19" t="n">
        <v>10.484637</v>
      </c>
      <c r="AF182" s="19" t="n"/>
      <c r="AG182" s="19" t="n">
        <v>26.274672</v>
      </c>
      <c r="AH182" s="19" t="n">
        <v>28.574</v>
      </c>
      <c r="AI182" s="19" t="n">
        <v>24.5584</v>
      </c>
      <c r="AJ182" s="19" t="n">
        <v>24.5584</v>
      </c>
      <c r="AK182" s="19" t="n">
        <v>23.113508</v>
      </c>
      <c r="AL182" s="19" t="inlineStr">
        <is>
          <t>Equity Scheme - Sectoral/ Thematic</t>
        </is>
      </c>
      <c r="AM182" s="19" t="n">
        <v>1.69</v>
      </c>
      <c r="AN182" s="19" t="n">
        <v>0</v>
      </c>
      <c r="AO182" s="19" t="n">
        <v>0.05</v>
      </c>
      <c r="AP182" s="19" t="n">
        <v>0.09</v>
      </c>
      <c r="AQ182" s="19" t="n">
        <v>1.83</v>
      </c>
      <c r="AR182" s="19" t="n">
        <v>0.46</v>
      </c>
      <c r="AS182" s="19" t="n">
        <v>0</v>
      </c>
      <c r="AT182" s="19" t="n">
        <v>0.05</v>
      </c>
      <c r="AU182" s="19" t="n">
        <v>0.09</v>
      </c>
      <c r="AV182" s="19" t="n">
        <v>0.6</v>
      </c>
      <c r="AW182" s="17" t="n">
        <v>-0.7376930646623318</v>
      </c>
      <c r="AX182" t="inlineStr">
        <is>
          <t>42cr</t>
        </is>
      </c>
      <c r="AY182" s="26" t="n">
        <v>1.681286049991746</v>
      </c>
      <c r="AZ182" s="26" t="n">
        <v>1.453221061498769</v>
      </c>
      <c r="BA182" s="26" t="n">
        <v>0.6964172556538143</v>
      </c>
      <c r="BB182" s="28" t="n">
        <v>2</v>
      </c>
      <c r="BC182" t="n">
        <v>1</v>
      </c>
      <c r="BD182" t="n">
        <v>0</v>
      </c>
      <c r="BE182" t="n">
        <v>1</v>
      </c>
      <c r="BF182" t="n">
        <v>0</v>
      </c>
      <c r="BG182" t="n">
        <v>0</v>
      </c>
      <c r="BH182" t="n">
        <v>0</v>
      </c>
    </row>
    <row r="183">
      <c r="A183" s="19" t="inlineStr">
        <is>
          <t>Aditya Birla Sun Life Quant Fund</t>
        </is>
      </c>
      <c r="B183" s="19" t="inlineStr">
        <is>
          <t>sectorial:thematic</t>
        </is>
      </c>
      <c r="C183" s="19" t="inlineStr">
        <is>
          <t>Nifty 200 TRI</t>
        </is>
      </c>
      <c r="D183" s="19" t="inlineStr">
        <is>
          <t>Very High</t>
        </is>
      </c>
      <c r="E183" s="19" t="inlineStr">
        <is>
          <t>Very High</t>
        </is>
      </c>
      <c r="F183" s="20" t="n">
        <v>46023</v>
      </c>
      <c r="G183" s="19" t="n">
        <v>10.18</v>
      </c>
      <c r="H183" s="19" t="n">
        <v>10.41</v>
      </c>
      <c r="I183" s="19" t="n">
        <v>7.8756475</v>
      </c>
      <c r="J183" s="19" t="n">
        <v>-1.4409935</v>
      </c>
      <c r="K183" s="19" t="n">
        <v>9.316641000000001</v>
      </c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>
        <v>2.6925597</v>
      </c>
      <c r="V183" s="19" t="n">
        <v>2256.27</v>
      </c>
      <c r="W183" s="19" t="n">
        <v>-0.2582309455581837</v>
      </c>
      <c r="X183" s="19" t="n">
        <v>-0.5867854235432374</v>
      </c>
      <c r="Y183" s="19" t="n"/>
      <c r="Z183" s="19" t="n"/>
      <c r="AA183" s="19" t="n"/>
      <c r="AB183" s="19" t="n"/>
      <c r="AC183" s="19" t="n"/>
      <c r="AD183" s="19" t="n"/>
      <c r="AE183" s="19" t="n">
        <v>6.263048</v>
      </c>
      <c r="AF183" s="19" t="n"/>
      <c r="AG183" s="19" t="n"/>
      <c r="AH183" s="19" t="n"/>
      <c r="AI183" s="19" t="n">
        <v>5.7431297</v>
      </c>
      <c r="AJ183" s="19" t="n">
        <v>5.7431297</v>
      </c>
      <c r="AK183" s="19" t="n">
        <v>1.1866174</v>
      </c>
      <c r="AL183" s="19" t="inlineStr">
        <is>
          <t>Equity Scheme - Sectoral/ Thematic</t>
        </is>
      </c>
      <c r="AM183" s="19" t="n">
        <v>1.89</v>
      </c>
      <c r="AN183" s="19" t="n">
        <v>0</v>
      </c>
      <c r="AO183" s="19" t="n">
        <v>0.05</v>
      </c>
      <c r="AP183" s="19" t="n">
        <v>0.09</v>
      </c>
      <c r="AQ183" s="19" t="n">
        <v>2.03</v>
      </c>
      <c r="AR183" s="19" t="n">
        <v>0.54</v>
      </c>
      <c r="AS183" s="19" t="n">
        <v>0</v>
      </c>
      <c r="AT183" s="19" t="n">
        <v>0.05</v>
      </c>
      <c r="AU183" s="19" t="n">
        <v>0.09</v>
      </c>
      <c r="AV183" s="19" t="n">
        <v>0.68</v>
      </c>
      <c r="AW183" s="17" t="n">
        <v>3.508445354501007</v>
      </c>
      <c r="AX183" s="18" t="inlineStr">
        <is>
          <t>-79cr</t>
        </is>
      </c>
      <c r="AY183" s="26" t="n">
        <v>1.756370055690261</v>
      </c>
      <c r="AZ183" s="26" t="n">
        <v>1.453221061498769</v>
      </c>
      <c r="BA183" s="26" t="n">
        <v>0.5610202388737963</v>
      </c>
      <c r="BB183" s="28" t="n">
        <v>3</v>
      </c>
      <c r="BC183" t="n">
        <v>1</v>
      </c>
      <c r="BD183" t="n">
        <v>1</v>
      </c>
      <c r="BE183" t="n">
        <v>1</v>
      </c>
      <c r="BF183" t="n">
        <v>0</v>
      </c>
      <c r="BG183" t="n">
        <v>0</v>
      </c>
      <c r="BH183" t="n">
        <v>0</v>
      </c>
    </row>
    <row r="184">
      <c r="A184" s="19" t="inlineStr">
        <is>
          <t>Aditya Birla Sun Life Special Opportunities Fund</t>
        </is>
      </c>
      <c r="B184" s="19" t="inlineStr">
        <is>
          <t>sectorial:thematic</t>
        </is>
      </c>
      <c r="C184" s="19" t="inlineStr">
        <is>
          <t>BSE 500 TRI</t>
        </is>
      </c>
      <c r="D184" s="19" t="inlineStr">
        <is>
          <t>Very High</t>
        </is>
      </c>
      <c r="E184" s="19" t="inlineStr">
        <is>
          <t>Very High</t>
        </is>
      </c>
      <c r="F184" s="20" t="n">
        <v>46023</v>
      </c>
      <c r="G184" s="19" t="n">
        <v>26.91</v>
      </c>
      <c r="H184" s="19" t="n">
        <v>28.95</v>
      </c>
      <c r="I184" s="19" t="n">
        <v>14.880953</v>
      </c>
      <c r="J184" s="19" t="n">
        <v>7.591928</v>
      </c>
      <c r="K184" s="19" t="n">
        <v>7.289025</v>
      </c>
      <c r="L184" s="19" t="n">
        <v>21.562191</v>
      </c>
      <c r="M184" s="19" t="n">
        <v>5.148128999999997</v>
      </c>
      <c r="N184" s="19" t="n">
        <v>16.414062</v>
      </c>
      <c r="O184" s="19" t="n">
        <v>19.548342</v>
      </c>
      <c r="P184" s="19" t="n">
        <v>2.821905000000001</v>
      </c>
      <c r="Q184" s="19" t="n">
        <v>16.726437</v>
      </c>
      <c r="R184" s="19" t="n"/>
      <c r="S184" s="19" t="n"/>
      <c r="T184" s="19" t="n"/>
      <c r="U184" s="19" t="n">
        <v>22.707813</v>
      </c>
      <c r="V184" s="19" t="n">
        <v>918.21</v>
      </c>
      <c r="W184" s="19" t="n">
        <v>1.768588672060103</v>
      </c>
      <c r="X184" s="19" t="n">
        <v>1.483581943267094</v>
      </c>
      <c r="Y184" s="19" t="n"/>
      <c r="Z184" s="19" t="n"/>
      <c r="AA184" s="19" t="n">
        <v>1.191718868078748</v>
      </c>
      <c r="AB184" s="19" t="n">
        <v>0.8748574293351695</v>
      </c>
      <c r="AC184" s="19" t="n">
        <v>0.6130823139332454</v>
      </c>
      <c r="AD184" s="19" t="n">
        <v>0.2583628178698273</v>
      </c>
      <c r="AE184" s="19" t="n">
        <v>13.6402025</v>
      </c>
      <c r="AF184" s="19" t="n"/>
      <c r="AG184" s="19" t="n">
        <v>20.17908</v>
      </c>
      <c r="AH184" s="19" t="n">
        <v>17.914474</v>
      </c>
      <c r="AI184" s="19" t="n">
        <v>19.920681</v>
      </c>
      <c r="AJ184" s="19" t="n">
        <v>19.920681</v>
      </c>
      <c r="AK184" s="19" t="n">
        <v>20.993746</v>
      </c>
      <c r="AL184" s="19" t="inlineStr">
        <is>
          <t>Equity Scheme - Sectoral/ Thematic</t>
        </is>
      </c>
      <c r="AM184" s="19" t="n">
        <v>2.09</v>
      </c>
      <c r="AN184" s="19" t="n">
        <v>0</v>
      </c>
      <c r="AO184" s="19" t="n">
        <v>0.05</v>
      </c>
      <c r="AP184" s="19" t="n">
        <v>0.19</v>
      </c>
      <c r="AQ184" s="19" t="n">
        <v>2.33</v>
      </c>
      <c r="AR184" s="19" t="n">
        <v>1.05</v>
      </c>
      <c r="AS184" s="19" t="n">
        <v>0</v>
      </c>
      <c r="AT184" s="19" t="n">
        <v>0.05</v>
      </c>
      <c r="AU184" s="19" t="n">
        <v>0.19</v>
      </c>
      <c r="AV184" s="19" t="n">
        <v>1.29</v>
      </c>
      <c r="AW184" s="17" t="n">
        <v>-2.416658498600544</v>
      </c>
      <c r="AX184" t="inlineStr">
        <is>
          <t>22cr</t>
        </is>
      </c>
      <c r="AY184" s="26" t="n">
        <v>2.199461644958479</v>
      </c>
      <c r="AZ184" s="26" t="n">
        <v>1.453221061498769</v>
      </c>
      <c r="BA184" s="26" t="n">
        <v>0.5497322654219242</v>
      </c>
      <c r="BB184" s="28" t="n">
        <v>3</v>
      </c>
      <c r="BC184" t="n">
        <v>1</v>
      </c>
      <c r="BD184" t="n">
        <v>0</v>
      </c>
      <c r="BE184" t="n">
        <v>0</v>
      </c>
      <c r="BF184" t="n">
        <v>1</v>
      </c>
      <c r="BG184" t="n">
        <v>1</v>
      </c>
      <c r="BH184" t="n">
        <v>0</v>
      </c>
    </row>
    <row r="185">
      <c r="A185" s="19" t="inlineStr">
        <is>
          <t>Aditya Birla Sun Life Transportation and Logistics Fund</t>
        </is>
      </c>
      <c r="B185" s="19" t="inlineStr">
        <is>
          <t>sectorial:thematic</t>
        </is>
      </c>
      <c r="C185" s="19" t="inlineStr">
        <is>
          <t>Nifty Transportation &amp; Logistics TRI</t>
        </is>
      </c>
      <c r="D185" s="19" t="inlineStr">
        <is>
          <t>Very High</t>
        </is>
      </c>
      <c r="E185" s="19" t="inlineStr">
        <is>
          <t>Very High</t>
        </is>
      </c>
      <c r="F185" s="20" t="n">
        <v>46023</v>
      </c>
      <c r="G185" s="19" t="n">
        <v>15.47</v>
      </c>
      <c r="H185" s="19" t="n">
        <v>15.96</v>
      </c>
      <c r="I185" s="19" t="n">
        <v>14.655172</v>
      </c>
      <c r="J185" s="19" t="n">
        <v>-2.523602</v>
      </c>
      <c r="K185" s="19" t="n">
        <v>17.178774</v>
      </c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>
        <v>24.594456</v>
      </c>
      <c r="V185" s="19" t="n">
        <v>1619.43</v>
      </c>
      <c r="W185" s="19" t="n">
        <v>-0.6331667141873575</v>
      </c>
      <c r="X185" s="19" t="n">
        <v>-1.005821196185461</v>
      </c>
      <c r="Y185" s="19" t="n"/>
      <c r="Z185" s="19" t="n"/>
      <c r="AA185" s="19" t="n"/>
      <c r="AB185" s="19" t="n"/>
      <c r="AC185" s="19" t="n"/>
      <c r="AD185" s="19" t="n"/>
      <c r="AE185" s="19" t="n">
        <v>13.1675205</v>
      </c>
      <c r="AF185" s="19" t="n"/>
      <c r="AG185" s="19" t="n"/>
      <c r="AH185" s="19" t="n"/>
      <c r="AI185" s="19" t="n">
        <v>26.47884</v>
      </c>
      <c r="AJ185" s="19" t="n">
        <v>26.47884</v>
      </c>
      <c r="AK185" s="19" t="n">
        <v>22.780336</v>
      </c>
      <c r="AL185" s="19" t="inlineStr">
        <is>
          <t>Equity Scheme - Sectoral/ Thematic</t>
        </is>
      </c>
      <c r="AM185" s="19" t="n">
        <v>1.96</v>
      </c>
      <c r="AN185" s="19" t="n">
        <v>0</v>
      </c>
      <c r="AO185" s="19" t="n">
        <v>0.05</v>
      </c>
      <c r="AP185" s="19" t="n">
        <v>0.11</v>
      </c>
      <c r="AQ185" s="19" t="n">
        <v>2.12</v>
      </c>
      <c r="AR185" s="19" t="n">
        <v>0.64</v>
      </c>
      <c r="AS185" s="19" t="n">
        <v>0</v>
      </c>
      <c r="AT185" s="19" t="n">
        <v>0.05</v>
      </c>
      <c r="AU185" s="19" t="n">
        <v>0.11</v>
      </c>
      <c r="AV185" s="19" t="n">
        <v>0.8</v>
      </c>
      <c r="AW185" s="17" t="n">
        <v>0.3532106975911294</v>
      </c>
      <c r="AX185" s="18" t="inlineStr">
        <is>
          <t>-6cr</t>
        </is>
      </c>
      <c r="AY185" s="26" t="n">
        <v>0.9875629446917088</v>
      </c>
      <c r="AZ185" s="26" t="n">
        <v>1.453221061498769</v>
      </c>
      <c r="BA185" s="26" t="n">
        <v>0.6014760474656923</v>
      </c>
      <c r="BB185" s="28" t="n">
        <v>4</v>
      </c>
      <c r="BC185" t="n">
        <v>1</v>
      </c>
      <c r="BD185" t="n">
        <v>1</v>
      </c>
      <c r="BE185" t="n">
        <v>1</v>
      </c>
      <c r="BF185" t="n">
        <v>0</v>
      </c>
      <c r="BG185" t="n">
        <v>0</v>
      </c>
      <c r="BH185" t="n">
        <v>1</v>
      </c>
    </row>
    <row r="186">
      <c r="A186" s="19" t="inlineStr">
        <is>
          <t>Axis Business Cycles Fund</t>
        </is>
      </c>
      <c r="B186" s="19" t="inlineStr">
        <is>
          <t>sectorial:thematic</t>
        </is>
      </c>
      <c r="C186" s="19" t="inlineStr">
        <is>
          <t>Nifty 500 TRI</t>
        </is>
      </c>
      <c r="D186" s="19" t="inlineStr">
        <is>
          <t>Very High</t>
        </is>
      </c>
      <c r="E186" s="19" t="inlineStr">
        <is>
          <t>Very High</t>
        </is>
      </c>
      <c r="F186" s="20" t="n">
        <v>46023</v>
      </c>
      <c r="G186" s="19" t="n">
        <v>16.7</v>
      </c>
      <c r="H186" s="19" t="n">
        <v>17.36</v>
      </c>
      <c r="I186" s="19" t="n">
        <v>4.389657</v>
      </c>
      <c r="J186" s="19" t="n">
        <v>-3.0293713</v>
      </c>
      <c r="K186" s="19" t="n">
        <v>7.4190283</v>
      </c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>
        <v>21.26923</v>
      </c>
      <c r="V186" s="19" t="n">
        <v>2212.32</v>
      </c>
      <c r="W186" s="19" t="n">
        <v>-0.9080155334296188</v>
      </c>
      <c r="X186" s="19" t="n">
        <v>-1.331421082304695</v>
      </c>
      <c r="Y186" s="19" t="n"/>
      <c r="Z186" s="19" t="n"/>
      <c r="AA186" s="19" t="n"/>
      <c r="AB186" s="19" t="n"/>
      <c r="AC186" s="19" t="n"/>
      <c r="AD186" s="19" t="n"/>
      <c r="AE186" s="19" t="n">
        <v>3.0228255</v>
      </c>
      <c r="AF186" s="19" t="n"/>
      <c r="AG186" s="19" t="n"/>
      <c r="AH186" s="19" t="n"/>
      <c r="AI186" s="19" t="n">
        <v>19.675457</v>
      </c>
      <c r="AJ186" s="19" t="n">
        <v>19.675457</v>
      </c>
      <c r="AK186" s="19" t="n">
        <v>19.636978</v>
      </c>
      <c r="AL186" s="19" t="inlineStr">
        <is>
          <t>Equity Scheme - Sectoral/ Thematic</t>
        </is>
      </c>
      <c r="AM186" s="19" t="n">
        <v>1.88</v>
      </c>
      <c r="AN186" s="19" t="n">
        <v>0</v>
      </c>
      <c r="AO186" s="19" t="n">
        <v>0.05</v>
      </c>
      <c r="AP186" s="19" t="n">
        <v>0.13</v>
      </c>
      <c r="AQ186" s="19" t="n">
        <v>2.06</v>
      </c>
      <c r="AR186" s="19" t="n">
        <v>0.74</v>
      </c>
      <c r="AS186" s="19" t="n">
        <v>0</v>
      </c>
      <c r="AT186" s="19" t="n">
        <v>0.05</v>
      </c>
      <c r="AU186" s="19" t="n">
        <v>0.13</v>
      </c>
      <c r="AV186" s="19" t="n">
        <v>0.92</v>
      </c>
      <c r="AW186" s="17" t="n">
        <v>2.406975482751139</v>
      </c>
      <c r="AX186" s="18" t="inlineStr">
        <is>
          <t>-53cr</t>
        </is>
      </c>
      <c r="AY186" s="26" t="n">
        <v>1.060453211073337</v>
      </c>
      <c r="AZ186" s="26" t="n">
        <v>1.453221061498769</v>
      </c>
      <c r="BA186" s="26" t="n">
        <v>0.5726919892484887</v>
      </c>
      <c r="BB186" s="28" t="n">
        <v>3</v>
      </c>
      <c r="BC186" t="n">
        <v>1</v>
      </c>
      <c r="BD186" t="n">
        <v>1</v>
      </c>
      <c r="BE186" t="n">
        <v>0</v>
      </c>
      <c r="BF186" t="n">
        <v>0</v>
      </c>
      <c r="BG186" t="n">
        <v>0</v>
      </c>
      <c r="BH186" t="n">
        <v>1</v>
      </c>
    </row>
    <row r="187">
      <c r="A187" s="19" t="inlineStr">
        <is>
          <t>Axis Consumption Fund</t>
        </is>
      </c>
      <c r="B187" s="19" t="inlineStr">
        <is>
          <t>sectorial:thematic</t>
        </is>
      </c>
      <c r="C187" s="19" t="inlineStr">
        <is>
          <t>Nifty India Consumption TRI</t>
        </is>
      </c>
      <c r="D187" s="19" t="inlineStr">
        <is>
          <t>Very High</t>
        </is>
      </c>
      <c r="E187" s="19" t="inlineStr">
        <is>
          <t>Very High</t>
        </is>
      </c>
      <c r="F187" s="20" t="n">
        <v>46023</v>
      </c>
      <c r="G187" s="19" t="n">
        <v>9.65</v>
      </c>
      <c r="H187" s="19" t="n">
        <v>9.82</v>
      </c>
      <c r="I187" s="19" t="n">
        <v>0.8213552</v>
      </c>
      <c r="J187" s="19" t="n">
        <v>-7.288357799999999</v>
      </c>
      <c r="K187" s="19" t="n">
        <v>8.109712999999999</v>
      </c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>
        <v>-2.008957</v>
      </c>
      <c r="V187" s="19" t="n">
        <v>3490.82</v>
      </c>
      <c r="W187" s="19" t="n">
        <v>-2.222898035382209</v>
      </c>
      <c r="X187" s="19" t="n">
        <v>-2.66361770869686</v>
      </c>
      <c r="Y187" s="19" t="n"/>
      <c r="Z187" s="19" t="n"/>
      <c r="AA187" s="19" t="n"/>
      <c r="AB187" s="19" t="n"/>
      <c r="AC187" s="19" t="n"/>
      <c r="AD187" s="19" t="n"/>
      <c r="AE187" s="19" t="n">
        <v>-0.5154639</v>
      </c>
      <c r="AF187" s="19" t="n"/>
      <c r="AG187" s="19" t="n"/>
      <c r="AH187" s="19" t="n"/>
      <c r="AI187" s="19" t="n">
        <v>-0.63815296</v>
      </c>
      <c r="AJ187" s="19" t="n">
        <v>-0.63815296</v>
      </c>
      <c r="AK187" s="19" t="n">
        <v>-3.254382</v>
      </c>
      <c r="AL187" s="19" t="inlineStr">
        <is>
          <t>Equity Scheme - Sectoral/ Thematic</t>
        </is>
      </c>
      <c r="AM187" s="19" t="n">
        <v>1.79</v>
      </c>
      <c r="AN187" s="19" t="n">
        <v>0</v>
      </c>
      <c r="AO187" s="19" t="n">
        <v>0.05</v>
      </c>
      <c r="AP187" s="19" t="n">
        <v>0.09</v>
      </c>
      <c r="AQ187" s="19" t="n">
        <v>1.93</v>
      </c>
      <c r="AR187" s="19" t="n">
        <v>0.49</v>
      </c>
      <c r="AS187" s="19" t="n">
        <v>0</v>
      </c>
      <c r="AT187" s="19" t="n">
        <v>0.05</v>
      </c>
      <c r="AU187" s="19" t="n">
        <v>0.09</v>
      </c>
      <c r="AV187" s="19" t="n">
        <v>0.63</v>
      </c>
      <c r="AW187" s="17" t="n">
        <v>5.172996602517458</v>
      </c>
      <c r="AX187" s="18" t="inlineStr">
        <is>
          <t>-181cr</t>
        </is>
      </c>
      <c r="AY187" s="26" t="n">
        <v>1.141258039866406</v>
      </c>
      <c r="AZ187" s="26" t="n">
        <v>1.453221061498769</v>
      </c>
      <c r="BA187" s="26" t="n">
        <v>0.5003153276145229</v>
      </c>
      <c r="BB187" s="28" t="n">
        <v>3</v>
      </c>
      <c r="BC187" t="n">
        <v>0</v>
      </c>
      <c r="BD187" t="n">
        <v>1</v>
      </c>
      <c r="BE187" t="n">
        <v>1</v>
      </c>
      <c r="BF187" t="n">
        <v>0</v>
      </c>
      <c r="BG187" t="n">
        <v>0</v>
      </c>
      <c r="BH187" t="n">
        <v>1</v>
      </c>
    </row>
    <row r="188">
      <c r="A188" s="19" t="inlineStr">
        <is>
          <t>Axis ESG Integration Strategy Fund</t>
        </is>
      </c>
      <c r="B188" s="19" t="inlineStr">
        <is>
          <t>sectorial:thematic</t>
        </is>
      </c>
      <c r="C188" s="19" t="inlineStr">
        <is>
          <t>Nifty 100 ESG TRI</t>
        </is>
      </c>
      <c r="D188" s="19" t="inlineStr">
        <is>
          <t>Very High</t>
        </is>
      </c>
      <c r="E188" s="19" t="inlineStr">
        <is>
          <t>Very High</t>
        </is>
      </c>
      <c r="F188" s="20" t="n">
        <v>46023</v>
      </c>
      <c r="G188" s="19" t="n">
        <v>22.02</v>
      </c>
      <c r="H188" s="19" t="n">
        <v>23.72</v>
      </c>
      <c r="I188" s="19" t="n">
        <v>4.2637362</v>
      </c>
      <c r="J188" s="19" t="n">
        <v>-7.5229518</v>
      </c>
      <c r="K188" s="19" t="n">
        <v>11.786688</v>
      </c>
      <c r="L188" s="19" t="n">
        <v>15.466034</v>
      </c>
      <c r="M188" s="19" t="n">
        <v>-0.5263369999999998</v>
      </c>
      <c r="N188" s="19" t="n">
        <v>15.992371</v>
      </c>
      <c r="O188" s="19" t="n">
        <v>11.711378</v>
      </c>
      <c r="P188" s="19" t="n">
        <v>-3.107262</v>
      </c>
      <c r="Q188" s="19" t="n">
        <v>14.81864</v>
      </c>
      <c r="R188" s="19" t="n"/>
      <c r="S188" s="19" t="n"/>
      <c r="T188" s="19" t="n"/>
      <c r="U188" s="19" t="n">
        <v>15.792988</v>
      </c>
      <c r="V188" s="19" t="n">
        <v>1203.94</v>
      </c>
      <c r="W188" s="19" t="n">
        <v>-1.972914344716426</v>
      </c>
      <c r="X188" s="19" t="n">
        <v>-2.230896061711103</v>
      </c>
      <c r="Y188" s="19" t="n"/>
      <c r="Z188" s="19" t="n"/>
      <c r="AA188" s="19" t="n">
        <v>-0.1117660522700787</v>
      </c>
      <c r="AB188" s="19" t="n">
        <v>-0.2932193991849818</v>
      </c>
      <c r="AC188" s="19" t="n">
        <v>-0.4814657306914063</v>
      </c>
      <c r="AD188" s="19" t="n">
        <v>-0.6794499365002677</v>
      </c>
      <c r="AE188" s="19" t="n">
        <v>3.3317692</v>
      </c>
      <c r="AF188" s="19" t="n"/>
      <c r="AG188" s="19" t="n">
        <v>14.35153</v>
      </c>
      <c r="AH188" s="19" t="n">
        <v>10.372308</v>
      </c>
      <c r="AI188" s="19" t="n">
        <v>16.236252</v>
      </c>
      <c r="AJ188" s="19" t="n">
        <v>16.236252</v>
      </c>
      <c r="AK188" s="19" t="n">
        <v>14.340271</v>
      </c>
      <c r="AL188" s="19" t="inlineStr">
        <is>
          <t>Equity Scheme - Sectoral/ Thematic</t>
        </is>
      </c>
      <c r="AM188" s="19" t="n">
        <v>2.02</v>
      </c>
      <c r="AN188" s="19" t="n">
        <v>0</v>
      </c>
      <c r="AO188" s="19" t="n">
        <v>0.05</v>
      </c>
      <c r="AP188" s="19" t="n">
        <v>0.19</v>
      </c>
      <c r="AQ188" s="19" t="n">
        <v>2.26</v>
      </c>
      <c r="AR188" s="19" t="n">
        <v>1.11</v>
      </c>
      <c r="AS188" s="19" t="n">
        <v>0</v>
      </c>
      <c r="AT188" s="19" t="n">
        <v>0.05</v>
      </c>
      <c r="AU188" s="19" t="n">
        <v>0.19</v>
      </c>
      <c r="AV188" s="19" t="n">
        <v>1.35</v>
      </c>
      <c r="AW188" s="17" t="n">
        <v>1.66785720218615</v>
      </c>
      <c r="AX188" s="18" t="inlineStr">
        <is>
          <t>-20cr</t>
        </is>
      </c>
      <c r="AY188" s="26" t="n">
        <v>1.204675467710107</v>
      </c>
      <c r="AZ188" s="26" t="n">
        <v>1.453221061498769</v>
      </c>
      <c r="BA188" s="26" t="n">
        <v>0.4668188036156983</v>
      </c>
      <c r="BB188" s="28" t="n">
        <v>3</v>
      </c>
      <c r="BC188" t="n">
        <v>1</v>
      </c>
      <c r="BD188" t="n">
        <v>1</v>
      </c>
      <c r="BE188" t="n">
        <v>0</v>
      </c>
      <c r="BF188" t="n">
        <v>0</v>
      </c>
      <c r="BG188" t="n">
        <v>0</v>
      </c>
      <c r="BH188" t="n">
        <v>1</v>
      </c>
    </row>
    <row r="189">
      <c r="A189" s="19" t="inlineStr">
        <is>
          <t>Axis India Manufacturing Fund</t>
        </is>
      </c>
      <c r="B189" s="19" t="inlineStr">
        <is>
          <t>sectorial:thematic</t>
        </is>
      </c>
      <c r="C189" s="19" t="inlineStr">
        <is>
          <t>Nifty India Manufacturing TRI</t>
        </is>
      </c>
      <c r="D189" s="19" t="inlineStr">
        <is>
          <t>Very High</t>
        </is>
      </c>
      <c r="E189" s="19" t="inlineStr">
        <is>
          <t>Very High</t>
        </is>
      </c>
      <c r="F189" s="20" t="n">
        <v>46023</v>
      </c>
      <c r="G189" s="19" t="n">
        <v>14.19</v>
      </c>
      <c r="H189" s="19" t="n">
        <v>14.6</v>
      </c>
      <c r="I189" s="19" t="n">
        <v>4.659498</v>
      </c>
      <c r="J189" s="19" t="n">
        <v>-7.391474</v>
      </c>
      <c r="K189" s="19" t="n">
        <v>12.050972</v>
      </c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>
        <v>20.461267</v>
      </c>
      <c r="V189" s="19" t="n">
        <v>5128.14</v>
      </c>
      <c r="W189" s="19" t="n">
        <v>-2.089813670793717</v>
      </c>
      <c r="X189" s="19" t="n">
        <v>-2.445147521941678</v>
      </c>
      <c r="Y189" s="19" t="n"/>
      <c r="Z189" s="19" t="n"/>
      <c r="AA189" s="19" t="n"/>
      <c r="AB189" s="19" t="n"/>
      <c r="AC189" s="19" t="n"/>
      <c r="AD189" s="19" t="n"/>
      <c r="AE189" s="19" t="n">
        <v>3.275109</v>
      </c>
      <c r="AF189" s="19" t="n"/>
      <c r="AG189" s="19" t="n"/>
      <c r="AH189" s="19" t="n"/>
      <c r="AI189" s="19" t="n">
        <v>21.294834</v>
      </c>
      <c r="AJ189" s="19" t="n">
        <v>21.294834</v>
      </c>
      <c r="AK189" s="19" t="n">
        <v>18.785172</v>
      </c>
      <c r="AL189" s="19" t="inlineStr">
        <is>
          <t>Equity Scheme - Sectoral/ Thematic</t>
        </is>
      </c>
      <c r="AM189" s="19" t="n">
        <v>1.72</v>
      </c>
      <c r="AN189" s="19" t="n">
        <v>0</v>
      </c>
      <c r="AO189" s="19" t="n">
        <v>0.05</v>
      </c>
      <c r="AP189" s="19" t="n">
        <v>0.07000000000000001</v>
      </c>
      <c r="AQ189" s="19" t="n">
        <v>1.84</v>
      </c>
      <c r="AR189" s="19" t="n">
        <v>0.42</v>
      </c>
      <c r="AS189" s="19" t="n">
        <v>0</v>
      </c>
      <c r="AT189" s="19" t="n">
        <v>0.05</v>
      </c>
      <c r="AU189" s="19" t="n">
        <v>0.07000000000000001</v>
      </c>
      <c r="AV189" s="19" t="n">
        <v>0.54</v>
      </c>
      <c r="AW189" s="17" t="n">
        <v>2.280943967988381</v>
      </c>
      <c r="AX189" s="18" t="inlineStr">
        <is>
          <t>-117cr</t>
        </is>
      </c>
      <c r="AY189" s="26" t="n">
        <v>1.093669529412459</v>
      </c>
      <c r="AZ189" s="26" t="n">
        <v>1.453221061498769</v>
      </c>
      <c r="BA189" s="26" t="n">
        <v>0.6237423239326799</v>
      </c>
      <c r="BB189" s="28" t="n">
        <v>4</v>
      </c>
      <c r="BC189" t="n">
        <v>1</v>
      </c>
      <c r="BD189" t="n">
        <v>1</v>
      </c>
      <c r="BE189" t="n">
        <v>1</v>
      </c>
      <c r="BF189" t="n">
        <v>0</v>
      </c>
      <c r="BG189" t="n">
        <v>0</v>
      </c>
      <c r="BH189" t="n">
        <v>1</v>
      </c>
    </row>
    <row r="190">
      <c r="A190" s="19" t="inlineStr">
        <is>
          <t>Axis Innovation Fund</t>
        </is>
      </c>
      <c r="B190" s="19" t="inlineStr">
        <is>
          <t>sectorial:thematic</t>
        </is>
      </c>
      <c r="C190" s="19" t="inlineStr">
        <is>
          <t>Nifty 500 TRI</t>
        </is>
      </c>
      <c r="D190" s="19" t="inlineStr">
        <is>
          <t>Very High</t>
        </is>
      </c>
      <c r="E190" s="19" t="inlineStr">
        <is>
          <t>Very High</t>
        </is>
      </c>
      <c r="F190" s="20" t="n">
        <v>46023</v>
      </c>
      <c r="G190" s="19" t="n">
        <v>18.98</v>
      </c>
      <c r="H190" s="19" t="n">
        <v>20.24</v>
      </c>
      <c r="I190" s="19" t="n">
        <v>3.8481271</v>
      </c>
      <c r="J190" s="19" t="n">
        <v>-3.5709012</v>
      </c>
      <c r="K190" s="19" t="n">
        <v>7.4190283</v>
      </c>
      <c r="L190" s="19" t="n">
        <v>19.011797</v>
      </c>
      <c r="M190" s="19" t="n">
        <v>2.289568000000003</v>
      </c>
      <c r="N190" s="19" t="n">
        <v>16.722229</v>
      </c>
      <c r="O190" s="19" t="n">
        <v>14.97489</v>
      </c>
      <c r="P190" s="19" t="n">
        <v>-1.813826999999998</v>
      </c>
      <c r="Q190" s="19" t="n">
        <v>16.788717</v>
      </c>
      <c r="R190" s="19" t="n"/>
      <c r="S190" s="19" t="n"/>
      <c r="T190" s="19" t="n"/>
      <c r="U190" s="19" t="n">
        <v>15.064556</v>
      </c>
      <c r="V190" s="19" t="n">
        <v>1196.22</v>
      </c>
      <c r="W190" s="19" t="n">
        <v>-0.5630336404966727</v>
      </c>
      <c r="X190" s="19" t="n">
        <v>-0.718276928304961</v>
      </c>
      <c r="Y190" s="19" t="n"/>
      <c r="Z190" s="19" t="n"/>
      <c r="AA190" s="19" t="n">
        <v>0.3000408375091937</v>
      </c>
      <c r="AB190" s="19" t="n">
        <v>0.1156201917953504</v>
      </c>
      <c r="AC190" s="19" t="n">
        <v>-0.2544275558487554</v>
      </c>
      <c r="AD190" s="19" t="n">
        <v>-0.4437938407150472</v>
      </c>
      <c r="AE190" s="19" t="n">
        <v>2.8726287</v>
      </c>
      <c r="AF190" s="19" t="n"/>
      <c r="AG190" s="19" t="n">
        <v>17.682468</v>
      </c>
      <c r="AH190" s="19" t="n">
        <v>13.529689</v>
      </c>
      <c r="AI190" s="19" t="n">
        <v>17.217068</v>
      </c>
      <c r="AJ190" s="19" t="n">
        <v>17.217068</v>
      </c>
      <c r="AK190" s="19" t="n">
        <v>13.602034</v>
      </c>
      <c r="AL190" s="19" t="inlineStr">
        <is>
          <t>Equity Scheme - Sectoral/ Thematic</t>
        </is>
      </c>
      <c r="AM190" s="19" t="n">
        <v>2.02</v>
      </c>
      <c r="AN190" s="19" t="n">
        <v>0</v>
      </c>
      <c r="AO190" s="19" t="n">
        <v>0.05</v>
      </c>
      <c r="AP190" s="19" t="n">
        <v>0.19</v>
      </c>
      <c r="AQ190" s="19" t="n">
        <v>2.26</v>
      </c>
      <c r="AR190" s="19" t="n">
        <v>1.07</v>
      </c>
      <c r="AS190" s="19" t="n">
        <v>0</v>
      </c>
      <c r="AT190" s="19" t="n">
        <v>0.05</v>
      </c>
      <c r="AU190" s="19" t="n">
        <v>0.19</v>
      </c>
      <c r="AV190" s="19" t="n">
        <v>1.31</v>
      </c>
      <c r="AW190" s="17" t="n">
        <v>0.1989600575144941</v>
      </c>
      <c r="AX190" s="18" t="inlineStr">
        <is>
          <t>-2cr</t>
        </is>
      </c>
      <c r="AY190" s="26" t="n">
        <v>0.9420652086041078</v>
      </c>
      <c r="AZ190" s="26" t="n">
        <v>1.453221061498769</v>
      </c>
      <c r="BA190" s="26" t="n">
        <v>0.5963052025276427</v>
      </c>
      <c r="BB190" s="28" t="n">
        <v>2</v>
      </c>
      <c r="BC190" t="n">
        <v>0</v>
      </c>
      <c r="BD190" t="n">
        <v>1</v>
      </c>
      <c r="BE190" t="n">
        <v>0</v>
      </c>
      <c r="BF190" t="n">
        <v>0</v>
      </c>
      <c r="BG190" t="n">
        <v>0</v>
      </c>
      <c r="BH190" t="n">
        <v>1</v>
      </c>
    </row>
    <row r="191">
      <c r="A191" s="19" t="inlineStr">
        <is>
          <t>Axis Momentum Fund</t>
        </is>
      </c>
      <c r="B191" s="19" t="inlineStr">
        <is>
          <t>sectorial:thematic</t>
        </is>
      </c>
      <c r="C191" s="19" t="inlineStr">
        <is>
          <t>Nifty 500 TRI</t>
        </is>
      </c>
      <c r="D191" s="19" t="inlineStr">
        <is>
          <t>Very High</t>
        </is>
      </c>
      <c r="E191" s="19" t="inlineStr">
        <is>
          <t>Very High</t>
        </is>
      </c>
      <c r="F191" s="20" t="n">
        <v>46023</v>
      </c>
      <c r="G191" s="19" t="n">
        <v>9.35</v>
      </c>
      <c r="H191" s="19" t="n">
        <v>9.51</v>
      </c>
      <c r="I191" s="19" t="n">
        <v>-3.6474164</v>
      </c>
      <c r="J191" s="19" t="n">
        <v>-11.0664447</v>
      </c>
      <c r="K191" s="19" t="n">
        <v>7.4190283</v>
      </c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>
        <v>-4.651471</v>
      </c>
      <c r="V191" s="19" t="n">
        <v>1196.66</v>
      </c>
      <c r="W191" s="19" t="n">
        <v>-1.481229178147392</v>
      </c>
      <c r="X191" s="19" t="n">
        <v>-1.721665596772061</v>
      </c>
      <c r="Y191" s="19" t="n"/>
      <c r="Z191" s="19" t="n"/>
      <c r="AA191" s="19" t="n"/>
      <c r="AB191" s="19" t="n"/>
      <c r="AC191" s="19" t="n"/>
      <c r="AD191" s="19" t="n"/>
      <c r="AE191" s="19" t="n">
        <v>-5.172414</v>
      </c>
      <c r="AF191" s="19" t="n"/>
      <c r="AG191" s="19" t="n"/>
      <c r="AH191" s="19" t="n"/>
      <c r="AI191" s="19" t="n">
        <v>3.6458905</v>
      </c>
      <c r="AJ191" s="19" t="n">
        <v>3.6458905</v>
      </c>
      <c r="AK191" s="19" t="n">
        <v>-6.172987</v>
      </c>
      <c r="AL191" s="19" t="inlineStr">
        <is>
          <t>Equity Scheme - Sectoral/ Thematic</t>
        </is>
      </c>
      <c r="AM191" s="19" t="n">
        <v>2.03</v>
      </c>
      <c r="AN191" s="19" t="n">
        <v>0</v>
      </c>
      <c r="AO191" s="19" t="n">
        <v>0.05</v>
      </c>
      <c r="AP191" s="19" t="n">
        <v>0.1</v>
      </c>
      <c r="AQ191" s="19" t="n">
        <v>2.18</v>
      </c>
      <c r="AR191" s="19" t="n">
        <v>0.5600000000000001</v>
      </c>
      <c r="AS191" s="19" t="n">
        <v>0</v>
      </c>
      <c r="AT191" s="19" t="n">
        <v>0.05</v>
      </c>
      <c r="AU191" s="19" t="n">
        <v>0.1</v>
      </c>
      <c r="AV191" s="19" t="n">
        <v>0.71</v>
      </c>
      <c r="AW191" s="17" t="n">
        <v>5.55462704527602</v>
      </c>
      <c r="AX191" s="18" t="inlineStr">
        <is>
          <t>-66cr</t>
        </is>
      </c>
      <c r="AY191" s="26" t="n">
        <v>1.53768663752141</v>
      </c>
      <c r="AZ191" s="26" t="n">
        <v>1.453221061498769</v>
      </c>
      <c r="BA191" s="26" t="n">
        <v>0.6507939137682303</v>
      </c>
      <c r="BB191" s="28" t="n">
        <v>2</v>
      </c>
      <c r="BC191" t="n">
        <v>0</v>
      </c>
      <c r="BD191" t="n">
        <v>1</v>
      </c>
      <c r="BE191" t="n">
        <v>1</v>
      </c>
      <c r="BF191" t="n">
        <v>0</v>
      </c>
      <c r="BG191" t="n">
        <v>0</v>
      </c>
      <c r="BH191" t="n">
        <v>0</v>
      </c>
    </row>
    <row r="192">
      <c r="A192" s="19" t="inlineStr">
        <is>
          <t>Axis Quant Fund</t>
        </is>
      </c>
      <c r="B192" s="19" t="inlineStr">
        <is>
          <t>sectorial:thematic</t>
        </is>
      </c>
      <c r="C192" s="19" t="inlineStr">
        <is>
          <t>BSE 200 TRI</t>
        </is>
      </c>
      <c r="D192" s="19" t="inlineStr">
        <is>
          <t>Very High</t>
        </is>
      </c>
      <c r="E192" s="19" t="inlineStr">
        <is>
          <t>Very High</t>
        </is>
      </c>
      <c r="F192" s="20" t="n">
        <v>46023</v>
      </c>
      <c r="G192" s="19" t="n">
        <v>16.35</v>
      </c>
      <c r="H192" s="19" t="n">
        <v>17.56</v>
      </c>
      <c r="I192" s="19" t="n">
        <v>2.3906705</v>
      </c>
      <c r="J192" s="19" t="n">
        <v>-6.6945315</v>
      </c>
      <c r="K192" s="19" t="n">
        <v>9.085202000000001</v>
      </c>
      <c r="L192" s="19" t="n">
        <v>16.26281</v>
      </c>
      <c r="M192" s="19" t="n">
        <v>0.2249850000000002</v>
      </c>
      <c r="N192" s="19" t="n">
        <v>16.037825</v>
      </c>
      <c r="O192" s="19" t="n"/>
      <c r="P192" s="19" t="n"/>
      <c r="Q192" s="19" t="n"/>
      <c r="R192" s="19" t="n"/>
      <c r="S192" s="19" t="n"/>
      <c r="T192" s="19" t="n"/>
      <c r="U192" s="19" t="n">
        <v>13.306858</v>
      </c>
      <c r="V192" s="19" t="n">
        <v>913.87</v>
      </c>
      <c r="W192" s="19" t="n">
        <v>-1.476032641688839</v>
      </c>
      <c r="X192" s="19" t="n">
        <v>-1.862080925220989</v>
      </c>
      <c r="Y192" s="19" t="n"/>
      <c r="Z192" s="19" t="n"/>
      <c r="AA192" s="19" t="n">
        <v>0.04440860953527013</v>
      </c>
      <c r="AB192" s="19" t="n">
        <v>-0.3121649778730608</v>
      </c>
      <c r="AC192" s="19" t="n"/>
      <c r="AD192" s="19" t="n"/>
      <c r="AE192" s="19" t="n">
        <v>0.8636644</v>
      </c>
      <c r="AF192" s="19" t="n"/>
      <c r="AG192" s="19" t="n">
        <v>14.499042</v>
      </c>
      <c r="AH192" s="19" t="n"/>
      <c r="AI192" s="19" t="n">
        <v>14.487397</v>
      </c>
      <c r="AJ192" s="19" t="n">
        <v>14.487397</v>
      </c>
      <c r="AK192" s="19" t="n">
        <v>11.52604</v>
      </c>
      <c r="AL192" s="19" t="inlineStr">
        <is>
          <t>Equity Scheme - Sectoral/ Thematic</t>
        </is>
      </c>
      <c r="AM192" s="19" t="n">
        <v>2.11</v>
      </c>
      <c r="AN192" s="19" t="n">
        <v>0</v>
      </c>
      <c r="AO192" s="19" t="n">
        <v>0.05</v>
      </c>
      <c r="AP192" s="19" t="n">
        <v>0.1</v>
      </c>
      <c r="AQ192" s="19" t="n">
        <v>2.26</v>
      </c>
      <c r="AR192" s="19" t="n">
        <v>0.61</v>
      </c>
      <c r="AS192" s="19" t="n">
        <v>0</v>
      </c>
      <c r="AT192" s="19" t="n">
        <v>0.05</v>
      </c>
      <c r="AU192" s="19" t="n">
        <v>0.1</v>
      </c>
      <c r="AV192" s="19" t="n">
        <v>0.76</v>
      </c>
      <c r="AW192" s="17" t="n">
        <v>1.269327147187239</v>
      </c>
      <c r="AX192" s="18" t="inlineStr">
        <is>
          <t>-12cr</t>
        </is>
      </c>
      <c r="AY192" s="26" t="n">
        <v>1.373404295619737</v>
      </c>
      <c r="AZ192" s="26" t="n">
        <v>1.453221061498769</v>
      </c>
      <c r="BA192" s="26" t="n">
        <v>0.4762805215127889</v>
      </c>
      <c r="BB192" s="28" t="n">
        <v>3</v>
      </c>
      <c r="BC192" t="n">
        <v>0</v>
      </c>
      <c r="BD192" t="n">
        <v>1</v>
      </c>
      <c r="BE192" t="n">
        <v>1</v>
      </c>
      <c r="BF192" t="n">
        <v>0</v>
      </c>
      <c r="BG192" t="n">
        <v>0</v>
      </c>
      <c r="BH192" t="n">
        <v>1</v>
      </c>
    </row>
    <row r="193">
      <c r="A193" s="19" t="inlineStr">
        <is>
          <t>Axis Services Opportunities Fund</t>
        </is>
      </c>
      <c r="B193" s="19" t="inlineStr">
        <is>
          <t>sectorial:thematic</t>
        </is>
      </c>
      <c r="C193" s="19" t="inlineStr">
        <is>
          <t>Nifty Services Sector TRI</t>
        </is>
      </c>
      <c r="D193" s="19" t="inlineStr">
        <is>
          <t>Very High</t>
        </is>
      </c>
      <c r="E193" s="19" t="inlineStr">
        <is>
          <t>Very High</t>
        </is>
      </c>
      <c r="F193" s="20" t="n">
        <v>46023</v>
      </c>
      <c r="G193" s="19" t="n">
        <v>9.93</v>
      </c>
      <c r="H193" s="19" t="n">
        <v>9.99</v>
      </c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>
        <v>1858.63</v>
      </c>
      <c r="W193" s="19" t="n"/>
      <c r="X193" s="19" t="n"/>
      <c r="Y193" s="19" t="n"/>
      <c r="Z193" s="19" t="n"/>
      <c r="AA193" s="19" t="n"/>
      <c r="AB193" s="19" t="n"/>
      <c r="AC193" s="19" t="n"/>
      <c r="AD193" s="19" t="n"/>
      <c r="AE193" s="19" t="n"/>
      <c r="AF193" s="19" t="n"/>
      <c r="AG193" s="19" t="n"/>
      <c r="AH193" s="19" t="n"/>
      <c r="AI193" s="19" t="n"/>
      <c r="AJ193" s="19" t="n"/>
      <c r="AK193" s="19" t="n"/>
      <c r="AL193" s="19" t="inlineStr">
        <is>
          <t>Equity Scheme - Sectoral/ Thematic</t>
        </is>
      </c>
      <c r="AM193" s="19" t="n">
        <v>1.93</v>
      </c>
      <c r="AN193" s="19" t="n">
        <v>0</v>
      </c>
      <c r="AO193" s="19" t="n">
        <v>0.05</v>
      </c>
      <c r="AP193" s="19" t="n">
        <v>0.1</v>
      </c>
      <c r="AQ193" s="19" t="n">
        <v>2.08</v>
      </c>
      <c r="AR193" s="19" t="n">
        <v>0.57</v>
      </c>
      <c r="AS193" s="19" t="n">
        <v>0</v>
      </c>
      <c r="AT193" s="19" t="n">
        <v>0.05</v>
      </c>
      <c r="AU193" s="19" t="n">
        <v>0.1</v>
      </c>
      <c r="AV193" s="19" t="n">
        <v>0.72</v>
      </c>
      <c r="AW193" s="17" t="n">
        <v>6.480579781882343</v>
      </c>
      <c r="AX193" s="18" t="inlineStr">
        <is>
          <t>-120cr</t>
        </is>
      </c>
      <c r="AY193" s="26" t="n">
        <v>1.168180655120167</v>
      </c>
      <c r="AZ193" s="26" t="n">
        <v>1.453221061498769</v>
      </c>
      <c r="BA193" s="26" t="n">
        <v>0.5955547279164761</v>
      </c>
      <c r="BB193" s="28" t="n">
        <v>3</v>
      </c>
      <c r="BC193" t="n">
        <v>0</v>
      </c>
      <c r="BD193" t="n">
        <v>1</v>
      </c>
      <c r="BE193" t="n">
        <v>1</v>
      </c>
      <c r="BF193" t="n">
        <v>0</v>
      </c>
      <c r="BG193" t="n">
        <v>0</v>
      </c>
      <c r="BH193" t="n">
        <v>1</v>
      </c>
    </row>
    <row r="194">
      <c r="A194" s="19" t="inlineStr">
        <is>
          <t>Bajaj Finserv Banking and Financial Services Fund</t>
        </is>
      </c>
      <c r="B194" s="19" t="inlineStr">
        <is>
          <t>sectorial:thematic</t>
        </is>
      </c>
      <c r="C194" s="19" t="inlineStr">
        <is>
          <t>Nifty Financial Services TRI</t>
        </is>
      </c>
      <c r="D194" s="19" t="inlineStr">
        <is>
          <t>Very High</t>
        </is>
      </c>
      <c r="E194" s="19" t="inlineStr">
        <is>
          <t>Very High</t>
        </is>
      </c>
      <c r="F194" s="20" t="n">
        <v>46023</v>
      </c>
      <c r="G194" s="19" t="n">
        <v>10.086</v>
      </c>
      <c r="H194" s="19" t="n">
        <v>10.101</v>
      </c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>
        <v>363.69</v>
      </c>
      <c r="W194" s="19" t="n"/>
      <c r="X194" s="19" t="n"/>
      <c r="Y194" s="19" t="n"/>
      <c r="Z194" s="19" t="n"/>
      <c r="AA194" s="19" t="n"/>
      <c r="AB194" s="19" t="n"/>
      <c r="AC194" s="19" t="n"/>
      <c r="AD194" s="19" t="n"/>
      <c r="AE194" s="19" t="n"/>
      <c r="AF194" s="19" t="n"/>
      <c r="AG194" s="19" t="n"/>
      <c r="AH194" s="19" t="n"/>
      <c r="AI194" s="19" t="n"/>
      <c r="AJ194" s="19" t="n"/>
      <c r="AK194" s="19" t="n"/>
      <c r="AL194" s="19" t="inlineStr">
        <is>
          <t>Equity Scheme - Sectoral/ Thematic</t>
        </is>
      </c>
      <c r="AM194" s="19" t="n">
        <v>2.24</v>
      </c>
      <c r="AN194" s="19" t="n">
        <v>0</v>
      </c>
      <c r="AO194" s="19" t="n">
        <v>0.05</v>
      </c>
      <c r="AP194" s="19" t="n">
        <v>0.07000000000000001</v>
      </c>
      <c r="AQ194" s="19" t="n">
        <v>2.36</v>
      </c>
      <c r="AR194" s="19" t="n">
        <v>0.54</v>
      </c>
      <c r="AS194" s="19" t="n">
        <v>0</v>
      </c>
      <c r="AT194" s="19" t="n">
        <v>0.05</v>
      </c>
      <c r="AU194" s="19" t="n">
        <v>0.07000000000000001</v>
      </c>
      <c r="AV194" s="19" t="n">
        <v>0.66</v>
      </c>
      <c r="AY194" s="26" t="n">
        <v>0.438310237545626</v>
      </c>
      <c r="AZ194" s="26" t="n">
        <v>1.453221061498769</v>
      </c>
      <c r="BA194" s="26" t="n">
        <v>0.3887760394940202</v>
      </c>
      <c r="BB194" s="28" t="n">
        <v>2</v>
      </c>
      <c r="BC194" t="n">
        <v>0</v>
      </c>
      <c r="BD194" t="n">
        <v>0</v>
      </c>
      <c r="BE194" t="n">
        <v>1</v>
      </c>
      <c r="BF194" t="n">
        <v>0</v>
      </c>
      <c r="BG194" t="n">
        <v>0</v>
      </c>
      <c r="BH194" t="n">
        <v>1</v>
      </c>
    </row>
    <row r="195">
      <c r="A195" s="19" t="inlineStr">
        <is>
          <t>Bajaj Finserv Consumption Fund</t>
        </is>
      </c>
      <c r="B195" s="19" t="inlineStr">
        <is>
          <t>sectorial:thematic</t>
        </is>
      </c>
      <c r="C195" s="19" t="inlineStr">
        <is>
          <t>Nifty India Consumption TRI</t>
        </is>
      </c>
      <c r="D195" s="19" t="inlineStr">
        <is>
          <t>Very High</t>
        </is>
      </c>
      <c r="E195" s="19" t="inlineStr">
        <is>
          <t>Very High</t>
        </is>
      </c>
      <c r="F195" s="20" t="n">
        <v>46023</v>
      </c>
      <c r="G195" s="19" t="n">
        <v>9.426</v>
      </c>
      <c r="H195" s="19" t="n">
        <v>9.597</v>
      </c>
      <c r="I195" s="19" t="n">
        <v>-4.8483047</v>
      </c>
      <c r="J195" s="19" t="n">
        <v>-12.9580177</v>
      </c>
      <c r="K195" s="19" t="n">
        <v>8.109712999999999</v>
      </c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>
        <v>-3.7021208</v>
      </c>
      <c r="V195" s="19" t="n">
        <v>655.83</v>
      </c>
      <c r="W195" s="19" t="n">
        <v>-2.279023860256293</v>
      </c>
      <c r="X195" s="19" t="n">
        <v>-2.567086807063539</v>
      </c>
      <c r="Y195" s="19" t="n"/>
      <c r="Z195" s="19" t="n"/>
      <c r="AA195" s="19" t="n"/>
      <c r="AB195" s="19" t="n"/>
      <c r="AC195" s="19" t="n"/>
      <c r="AD195" s="19" t="n"/>
      <c r="AE195" s="19" t="n">
        <v>-6.395233</v>
      </c>
      <c r="AF195" s="19" t="n"/>
      <c r="AG195" s="19" t="n"/>
      <c r="AH195" s="19" t="n"/>
      <c r="AI195" s="19" t="n">
        <v>7.2607493</v>
      </c>
      <c r="AJ195" s="19" t="n">
        <v>7.2607493</v>
      </c>
      <c r="AK195" s="19" t="n">
        <v>-5.2768645</v>
      </c>
      <c r="AL195" s="19" t="inlineStr">
        <is>
          <t>Equity Scheme - Sectoral/ Thematic</t>
        </is>
      </c>
      <c r="AM195" s="19" t="n">
        <v>2.2</v>
      </c>
      <c r="AN195" s="19" t="n">
        <v>0</v>
      </c>
      <c r="AO195" s="19" t="n">
        <v>0.05</v>
      </c>
      <c r="AP195" s="19" t="n">
        <v>0.1</v>
      </c>
      <c r="AQ195" s="19" t="n">
        <v>2.35</v>
      </c>
      <c r="AR195" s="19" t="n">
        <v>0.59</v>
      </c>
      <c r="AS195" s="19" t="n">
        <v>0</v>
      </c>
      <c r="AT195" s="19" t="n">
        <v>0.05</v>
      </c>
      <c r="AU195" s="19" t="n">
        <v>0.1</v>
      </c>
      <c r="AV195" s="19" t="n">
        <v>0.74</v>
      </c>
      <c r="AW195" s="17" t="n">
        <v>2.76443590564628</v>
      </c>
      <c r="AX195" s="18" t="inlineStr">
        <is>
          <t>-18cr</t>
        </is>
      </c>
      <c r="AY195" s="26" t="n">
        <v>1.831192033783036</v>
      </c>
      <c r="AZ195" s="26" t="n">
        <v>1.453221061498769</v>
      </c>
      <c r="BA195" s="26" t="n">
        <v>0.5460887854507736</v>
      </c>
      <c r="BB195" s="28" t="n">
        <v>2</v>
      </c>
      <c r="BC195" t="n">
        <v>0</v>
      </c>
      <c r="BD195" t="n">
        <v>1</v>
      </c>
      <c r="BE195" t="n">
        <v>1</v>
      </c>
      <c r="BF195" t="n">
        <v>0</v>
      </c>
      <c r="BG195" t="n">
        <v>0</v>
      </c>
      <c r="BH195" t="n">
        <v>0</v>
      </c>
    </row>
    <row r="196">
      <c r="A196" s="19" t="inlineStr">
        <is>
          <t>Bajaj Finserv Healthcare Fund</t>
        </is>
      </c>
      <c r="B196" s="19" t="inlineStr">
        <is>
          <t>sectorial:thematic</t>
        </is>
      </c>
      <c r="C196" s="19" t="inlineStr">
        <is>
          <t>BSE Healthcare TRI</t>
        </is>
      </c>
      <c r="D196" s="19" t="inlineStr">
        <is>
          <t>Very High</t>
        </is>
      </c>
      <c r="E196" s="19" t="inlineStr">
        <is>
          <t>Very High</t>
        </is>
      </c>
      <c r="F196" s="20" t="n">
        <v>46023</v>
      </c>
      <c r="G196" s="19" t="n">
        <v>9.630000000000001</v>
      </c>
      <c r="H196" s="19" t="n">
        <v>9.797000000000001</v>
      </c>
      <c r="I196" s="19" t="n">
        <v>-3.009603</v>
      </c>
      <c r="J196" s="19" t="n">
        <v>0.268192</v>
      </c>
      <c r="K196" s="19" t="n">
        <v>-3.277795</v>
      </c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>
        <v>-2.002844</v>
      </c>
      <c r="V196" s="19" t="n">
        <v>326.33</v>
      </c>
      <c r="W196" s="19" t="n">
        <v>0.005859740780438825</v>
      </c>
      <c r="X196" s="19" t="n">
        <v>-0.3482746784986974</v>
      </c>
      <c r="Y196" s="19" t="n"/>
      <c r="Z196" s="19" t="n"/>
      <c r="AA196" s="19" t="n"/>
      <c r="AB196" s="19" t="n"/>
      <c r="AC196" s="19" t="n"/>
      <c r="AD196" s="19" t="n"/>
      <c r="AE196" s="19" t="n">
        <v>-4.634581</v>
      </c>
      <c r="AF196" s="19" t="n"/>
      <c r="AG196" s="19" t="n"/>
      <c r="AH196" s="19" t="n"/>
      <c r="AI196" s="19" t="n">
        <v>-1.4641216</v>
      </c>
      <c r="AJ196" s="19" t="n">
        <v>-1.4641216</v>
      </c>
      <c r="AK196" s="19" t="n">
        <v>-3.6509242</v>
      </c>
      <c r="AL196" s="19" t="inlineStr">
        <is>
          <t>Equity Scheme - Sectoral/ Thematic</t>
        </is>
      </c>
      <c r="AM196" s="19" t="n">
        <v>2.24</v>
      </c>
      <c r="AN196" s="19" t="n">
        <v>0</v>
      </c>
      <c r="AO196" s="19" t="n">
        <v>0.05</v>
      </c>
      <c r="AP196" s="19" t="n">
        <v>0.1</v>
      </c>
      <c r="AQ196" s="19" t="n">
        <v>2.39</v>
      </c>
      <c r="AR196" s="19" t="n">
        <v>0.59</v>
      </c>
      <c r="AS196" s="19" t="n">
        <v>0</v>
      </c>
      <c r="AT196" s="19" t="n">
        <v>0.05</v>
      </c>
      <c r="AU196" s="19" t="n">
        <v>0.1</v>
      </c>
      <c r="AV196" s="19" t="n">
        <v>0.74</v>
      </c>
      <c r="AW196" s="17" t="n">
        <v>2.901970398063319</v>
      </c>
      <c r="AX196" s="18" t="inlineStr">
        <is>
          <t>-9cr</t>
        </is>
      </c>
      <c r="AY196" s="26" t="n">
        <v>1.224249066201858</v>
      </c>
      <c r="AZ196" s="26" t="n">
        <v>1.453221061498769</v>
      </c>
      <c r="BA196" s="26" t="n">
        <v>0.6099899857633796</v>
      </c>
      <c r="BB196" s="28" t="n">
        <v>4</v>
      </c>
      <c r="BC196" t="n">
        <v>0</v>
      </c>
      <c r="BD196" t="n">
        <v>1</v>
      </c>
      <c r="BE196" t="n">
        <v>1</v>
      </c>
      <c r="BF196" t="n">
        <v>1</v>
      </c>
      <c r="BG196" t="n">
        <v>0</v>
      </c>
      <c r="BH196" t="n">
        <v>1</v>
      </c>
    </row>
    <row r="197">
      <c r="A197" s="19" t="inlineStr">
        <is>
          <t>Bandhan Business Cycle Fund</t>
        </is>
      </c>
      <c r="B197" s="19" t="inlineStr">
        <is>
          <t>sectorial:thematic</t>
        </is>
      </c>
      <c r="C197" s="19" t="inlineStr">
        <is>
          <t>Nifty 500 TRI</t>
        </is>
      </c>
      <c r="D197" s="19" t="inlineStr">
        <is>
          <t>Very High</t>
        </is>
      </c>
      <c r="E197" s="19" t="inlineStr">
        <is>
          <t>Very High</t>
        </is>
      </c>
      <c r="F197" s="20" t="n">
        <v>46023</v>
      </c>
      <c r="G197" s="19" t="n">
        <v>10.235</v>
      </c>
      <c r="H197" s="19" t="n">
        <v>10.436</v>
      </c>
      <c r="I197" s="19" t="n">
        <v>6.1324115</v>
      </c>
      <c r="J197" s="19" t="n">
        <v>-1.2866168</v>
      </c>
      <c r="K197" s="19" t="n">
        <v>7.4190283</v>
      </c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>
        <v>3.459554</v>
      </c>
      <c r="V197" s="19" t="n">
        <v>1447.3</v>
      </c>
      <c r="W197" s="19" t="n">
        <v>-0.253257438715937</v>
      </c>
      <c r="X197" s="19" t="n">
        <v>-0.651074630492824</v>
      </c>
      <c r="Y197" s="19" t="n"/>
      <c r="Z197" s="19" t="n"/>
      <c r="AA197" s="19" t="n"/>
      <c r="AB197" s="19" t="n"/>
      <c r="AC197" s="19" t="n"/>
      <c r="AD197" s="19" t="n"/>
      <c r="AE197" s="19" t="n">
        <v>4.5347767</v>
      </c>
      <c r="AF197" s="19" t="n"/>
      <c r="AG197" s="19" t="n"/>
      <c r="AH197" s="19" t="n"/>
      <c r="AI197" s="19" t="n">
        <v>-0.20755255</v>
      </c>
      <c r="AJ197" s="19" t="n">
        <v>-0.20755255</v>
      </c>
      <c r="AK197" s="19" t="n">
        <v>1.8683897</v>
      </c>
      <c r="AL197" s="19" t="inlineStr">
        <is>
          <t>Equity Scheme - Sectoral/ Thematic</t>
        </is>
      </c>
      <c r="AM197" s="19" t="n">
        <v>1.97</v>
      </c>
      <c r="AN197" s="19" t="n">
        <v>0</v>
      </c>
      <c r="AO197" s="19" t="n">
        <v>0.05</v>
      </c>
      <c r="AP197" s="19" t="n">
        <v>0.08</v>
      </c>
      <c r="AQ197" s="19" t="n">
        <v>2.1</v>
      </c>
      <c r="AR197" s="19" t="n">
        <v>0.49</v>
      </c>
      <c r="AS197" s="19" t="n">
        <v>0</v>
      </c>
      <c r="AT197" s="19" t="n">
        <v>0.05</v>
      </c>
      <c r="AU197" s="19" t="n">
        <v>0.08</v>
      </c>
      <c r="AV197" s="19" t="n">
        <v>0.62</v>
      </c>
      <c r="AW197" s="17" t="n">
        <v>4.455192427278382</v>
      </c>
      <c r="AX197" s="18" t="inlineStr">
        <is>
          <t>-64cr</t>
        </is>
      </c>
      <c r="AY197" s="26" t="n">
        <v>1.04385011636573</v>
      </c>
      <c r="AZ197" s="26" t="n">
        <v>1.453221061498769</v>
      </c>
      <c r="BA197" s="26" t="n">
        <v>0.5746302626520181</v>
      </c>
      <c r="BB197" s="28" t="n">
        <v>4</v>
      </c>
      <c r="BC197" t="n">
        <v>1</v>
      </c>
      <c r="BD197" t="n">
        <v>1</v>
      </c>
      <c r="BE197" t="n">
        <v>1</v>
      </c>
      <c r="BF197" t="n">
        <v>0</v>
      </c>
      <c r="BG197" t="n">
        <v>0</v>
      </c>
      <c r="BH197" t="n">
        <v>1</v>
      </c>
    </row>
    <row r="198">
      <c r="A198" s="19" t="inlineStr">
        <is>
          <t>Bandhan Financial Services Fund</t>
        </is>
      </c>
      <c r="B198" s="19" t="inlineStr">
        <is>
          <t>sectorial:thematic</t>
        </is>
      </c>
      <c r="C198" s="19" t="inlineStr">
        <is>
          <t>Nifty Financial Services TRI</t>
        </is>
      </c>
      <c r="D198" s="19" t="inlineStr">
        <is>
          <t>Very High</t>
        </is>
      </c>
      <c r="E198" s="19" t="inlineStr">
        <is>
          <t>Very High</t>
        </is>
      </c>
      <c r="F198" s="20" t="n">
        <v>46023</v>
      </c>
      <c r="G198" s="19" t="n">
        <v>15.4</v>
      </c>
      <c r="H198" s="19" t="n">
        <v>16.022</v>
      </c>
      <c r="I198" s="19" t="n">
        <v>13.029983</v>
      </c>
      <c r="J198" s="19" t="n">
        <v>-5.260237000000002</v>
      </c>
      <c r="K198" s="19" t="n">
        <v>18.29022</v>
      </c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>
        <v>21.37967</v>
      </c>
      <c r="V198" s="19" t="n">
        <v>1142.35</v>
      </c>
      <c r="W198" s="19" t="n">
        <v>-0.9956302791630461</v>
      </c>
      <c r="X198" s="19" t="n">
        <v>-1.339195068612337</v>
      </c>
      <c r="Y198" s="19" t="n"/>
      <c r="Z198" s="19" t="n"/>
      <c r="AA198" s="19" t="n"/>
      <c r="AB198" s="19" t="n"/>
      <c r="AC198" s="19" t="n"/>
      <c r="AD198" s="19" t="n"/>
      <c r="AE198" s="19" t="n">
        <v>11.271676</v>
      </c>
      <c r="AF198" s="19" t="n"/>
      <c r="AG198" s="19" t="n"/>
      <c r="AH198" s="19" t="n"/>
      <c r="AI198" s="19" t="n">
        <v>14.619238</v>
      </c>
      <c r="AJ198" s="19" t="n">
        <v>14.619238</v>
      </c>
      <c r="AK198" s="19" t="n">
        <v>19.420195</v>
      </c>
      <c r="AL198" s="19" t="inlineStr">
        <is>
          <t>Equity Scheme - Sectoral/ Thematic</t>
        </is>
      </c>
      <c r="AM198" s="19" t="n">
        <v>2.03</v>
      </c>
      <c r="AN198" s="19" t="n">
        <v>0</v>
      </c>
      <c r="AO198" s="19" t="n">
        <v>0.05</v>
      </c>
      <c r="AP198" s="19" t="n">
        <v>0.08</v>
      </c>
      <c r="AQ198" s="19" t="n">
        <v>2.16</v>
      </c>
      <c r="AR198" s="19" t="n">
        <v>0.49</v>
      </c>
      <c r="AS198" s="19" t="n">
        <v>0</v>
      </c>
      <c r="AT198" s="19" t="n">
        <v>0.05</v>
      </c>
      <c r="AU198" s="19" t="n">
        <v>0.08</v>
      </c>
      <c r="AV198" s="19" t="n">
        <v>0.62</v>
      </c>
      <c r="AW198" s="17" t="n">
        <v>0.09454195299165359</v>
      </c>
      <c r="AX198" s="18" t="inlineStr">
        <is>
          <t>-1cr</t>
        </is>
      </c>
      <c r="AY198" s="26" t="n">
        <v>1.812217326798362</v>
      </c>
      <c r="AZ198" s="26" t="n">
        <v>1.453221061498769</v>
      </c>
      <c r="BA198" s="26" t="n">
        <v>0.5422868840426904</v>
      </c>
      <c r="BB198" s="28" t="n">
        <v>3</v>
      </c>
      <c r="BC198" t="n">
        <v>1</v>
      </c>
      <c r="BD198" t="n">
        <v>1</v>
      </c>
      <c r="BE198" t="n">
        <v>1</v>
      </c>
      <c r="BF198" t="n">
        <v>0</v>
      </c>
      <c r="BG198" t="n">
        <v>0</v>
      </c>
      <c r="BH198" t="n">
        <v>0</v>
      </c>
    </row>
    <row r="199">
      <c r="A199" s="19" t="inlineStr">
        <is>
          <t>Bandhan Innovation Fund</t>
        </is>
      </c>
      <c r="B199" s="19" t="inlineStr">
        <is>
          <t>sectorial:thematic</t>
        </is>
      </c>
      <c r="C199" s="19" t="inlineStr">
        <is>
          <t>Nifty 500 TRI</t>
        </is>
      </c>
      <c r="D199" s="19" t="inlineStr">
        <is>
          <t>Very High</t>
        </is>
      </c>
      <c r="E199" s="19" t="inlineStr">
        <is>
          <t>Very High</t>
        </is>
      </c>
      <c r="F199" s="20" t="n">
        <v>46023</v>
      </c>
      <c r="G199" s="19" t="n">
        <v>13.298</v>
      </c>
      <c r="H199" s="19" t="n">
        <v>13.647</v>
      </c>
      <c r="I199" s="19" t="n">
        <v>4.23923</v>
      </c>
      <c r="J199" s="19" t="n">
        <v>-3.1797983</v>
      </c>
      <c r="K199" s="19" t="n">
        <v>7.4190283</v>
      </c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>
        <v>20.411703</v>
      </c>
      <c r="V199" s="19" t="n">
        <v>1985.11</v>
      </c>
      <c r="W199" s="19" t="n">
        <v>-0.3584456943332452</v>
      </c>
      <c r="X199" s="19" t="n">
        <v>-0.5757521384061188</v>
      </c>
      <c r="Y199" s="19" t="n"/>
      <c r="Z199" s="19" t="n"/>
      <c r="AA199" s="19" t="n"/>
      <c r="AB199" s="19" t="n"/>
      <c r="AC199" s="19" t="n"/>
      <c r="AD199" s="19" t="n"/>
      <c r="AE199" s="19" t="n">
        <v>2.7031202</v>
      </c>
      <c r="AF199" s="19" t="n"/>
      <c r="AG199" s="19" t="n"/>
      <c r="AH199" s="19" t="n"/>
      <c r="AI199" s="19" t="n">
        <v>9.213172</v>
      </c>
      <c r="AJ199" s="19" t="n">
        <v>9.213172</v>
      </c>
      <c r="AK199" s="19" t="n">
        <v>18.56258</v>
      </c>
      <c r="AL199" s="19" t="inlineStr">
        <is>
          <t>Equity Scheme - Sectoral/ Thematic</t>
        </is>
      </c>
      <c r="AM199" s="19" t="n">
        <v>1.91</v>
      </c>
      <c r="AN199" s="19" t="n">
        <v>0</v>
      </c>
      <c r="AO199" s="19" t="n">
        <v>0.05</v>
      </c>
      <c r="AP199" s="19" t="n">
        <v>0.09</v>
      </c>
      <c r="AQ199" s="19" t="n">
        <v>2.05</v>
      </c>
      <c r="AR199" s="19" t="n">
        <v>0.51</v>
      </c>
      <c r="AS199" s="19" t="n">
        <v>0</v>
      </c>
      <c r="AT199" s="19" t="n">
        <v>0.05</v>
      </c>
      <c r="AU199" s="19" t="n">
        <v>0.08</v>
      </c>
      <c r="AV199" s="19" t="n">
        <v>0.64</v>
      </c>
      <c r="AW199" s="17" t="n">
        <v>-1.652805134224297</v>
      </c>
      <c r="AX199" t="inlineStr">
        <is>
          <t>33cr</t>
        </is>
      </c>
      <c r="AY199" s="26" t="n">
        <v>1.369964333149588</v>
      </c>
      <c r="AZ199" s="26" t="n">
        <v>1.453221061498769</v>
      </c>
      <c r="BA199" s="26" t="n">
        <v>0.6580135624562451</v>
      </c>
      <c r="BB199" s="28" t="n">
        <v>3</v>
      </c>
      <c r="BC199" t="n">
        <v>1</v>
      </c>
      <c r="BD199" t="n">
        <v>0</v>
      </c>
      <c r="BE199" t="n">
        <v>1</v>
      </c>
      <c r="BF199" t="n">
        <v>0</v>
      </c>
      <c r="BG199" t="n">
        <v>0</v>
      </c>
      <c r="BH199" t="n">
        <v>1</v>
      </c>
    </row>
    <row r="200">
      <c r="A200" s="19" t="inlineStr">
        <is>
          <t>Bandhan Multi-Factor Fund</t>
        </is>
      </c>
      <c r="B200" s="19" t="inlineStr">
        <is>
          <t>sectorial:thematic</t>
        </is>
      </c>
      <c r="C200" s="19" t="inlineStr">
        <is>
          <t>BSE 200 TRI</t>
        </is>
      </c>
      <c r="D200" s="19" t="inlineStr">
        <is>
          <t>Very High</t>
        </is>
      </c>
      <c r="E200" s="19" t="inlineStr">
        <is>
          <t>Very High</t>
        </is>
      </c>
      <c r="F200" s="20" t="n">
        <v>46023</v>
      </c>
      <c r="G200" s="19" t="n">
        <v>10.659</v>
      </c>
      <c r="H200" s="19" t="n">
        <v>10.73</v>
      </c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>
        <v>593.6900000000001</v>
      </c>
      <c r="W200" s="19" t="n"/>
      <c r="X200" s="19" t="n"/>
      <c r="Y200" s="19" t="n"/>
      <c r="Z200" s="19" t="n"/>
      <c r="AA200" s="19" t="n"/>
      <c r="AB200" s="19" t="n"/>
      <c r="AC200" s="19" t="n"/>
      <c r="AD200" s="19" t="n"/>
      <c r="AE200" s="19" t="n"/>
      <c r="AF200" s="19" t="n"/>
      <c r="AG200" s="19" t="n"/>
      <c r="AH200" s="19" t="n"/>
      <c r="AI200" s="19" t="n"/>
      <c r="AJ200" s="19" t="n"/>
      <c r="AK200" s="19" t="n"/>
      <c r="AL200" s="19" t="inlineStr">
        <is>
          <t>Equity Scheme - Sectoral/ Thematic</t>
        </is>
      </c>
      <c r="AM200" s="19" t="n">
        <v>2.2</v>
      </c>
      <c r="AN200" s="19" t="n">
        <v>0</v>
      </c>
      <c r="AO200" s="19" t="n">
        <v>0.05</v>
      </c>
      <c r="AP200" s="19" t="n">
        <v>0.1</v>
      </c>
      <c r="AQ200" s="19" t="n">
        <v>2.35</v>
      </c>
      <c r="AR200" s="19" t="n">
        <v>0.59</v>
      </c>
      <c r="AS200" s="19" t="n">
        <v>0</v>
      </c>
      <c r="AT200" s="19" t="n">
        <v>0.05</v>
      </c>
      <c r="AU200" s="19" t="n">
        <v>0.1</v>
      </c>
      <c r="AV200" s="19" t="n">
        <v>0.74</v>
      </c>
      <c r="AW200" s="17" t="n">
        <v>-5.69657565396083</v>
      </c>
      <c r="AX200" t="inlineStr">
        <is>
          <t>34cr</t>
        </is>
      </c>
      <c r="AY200" s="26" t="n">
        <v>1.549101063004382</v>
      </c>
      <c r="AZ200" s="26" t="n">
        <v>1.453221061498769</v>
      </c>
      <c r="BA200" s="26" t="n">
        <v>0.5538197814780377</v>
      </c>
      <c r="BB200" s="28" t="n">
        <v>1</v>
      </c>
      <c r="BC200" t="n">
        <v>0</v>
      </c>
      <c r="BD200" t="n">
        <v>0</v>
      </c>
      <c r="BE200" t="n">
        <v>1</v>
      </c>
      <c r="BF200" t="n">
        <v>0</v>
      </c>
      <c r="BG200" t="n">
        <v>0</v>
      </c>
      <c r="BH200" t="n">
        <v>0</v>
      </c>
    </row>
    <row r="201">
      <c r="A201" s="19" t="inlineStr">
        <is>
          <t>Bank of India Business Cycle Fund</t>
        </is>
      </c>
      <c r="B201" s="19" t="inlineStr">
        <is>
          <t>sectorial:thematic</t>
        </is>
      </c>
      <c r="C201" s="19" t="inlineStr">
        <is>
          <t>Nifty 500 TRI</t>
        </is>
      </c>
      <c r="D201" s="19" t="inlineStr">
        <is>
          <t>Very High</t>
        </is>
      </c>
      <c r="E201" s="19" t="inlineStr">
        <is>
          <t>Very High</t>
        </is>
      </c>
      <c r="F201" s="20" t="n">
        <v>46023</v>
      </c>
      <c r="G201" s="19" t="n">
        <v>8.98</v>
      </c>
      <c r="H201" s="19" t="n">
        <v>9.130000000000001</v>
      </c>
      <c r="I201" s="19" t="n">
        <v>-8.056395</v>
      </c>
      <c r="J201" s="19" t="n">
        <v>-15.4754233</v>
      </c>
      <c r="K201" s="19" t="n">
        <v>7.4190283</v>
      </c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>
        <v>-6.747447</v>
      </c>
      <c r="V201" s="19" t="n">
        <v>502.4</v>
      </c>
      <c r="W201" s="19" t="n">
        <v>-2.098816233770483</v>
      </c>
      <c r="X201" s="19" t="n">
        <v>-2.311329445480597</v>
      </c>
      <c r="Y201" s="19" t="n"/>
      <c r="Z201" s="19" t="n"/>
      <c r="AA201" s="19" t="n"/>
      <c r="AB201" s="19" t="n"/>
      <c r="AC201" s="19" t="n"/>
      <c r="AD201" s="19" t="n"/>
      <c r="AE201" s="19" t="n">
        <v>-9.201212999999999</v>
      </c>
      <c r="AF201" s="19" t="n"/>
      <c r="AG201" s="19" t="n"/>
      <c r="AH201" s="19" t="n"/>
      <c r="AI201" s="19" t="n">
        <v>1.3402449</v>
      </c>
      <c r="AJ201" s="19" t="n">
        <v>1.3402449</v>
      </c>
      <c r="AK201" s="19" t="n">
        <v>-7.900452</v>
      </c>
      <c r="AL201" s="19" t="inlineStr">
        <is>
          <t>Equity Scheme - Sectoral/ Thematic</t>
        </is>
      </c>
      <c r="AM201" s="19" t="n">
        <v>2.22</v>
      </c>
      <c r="AN201" s="19" t="n">
        <v>0</v>
      </c>
      <c r="AO201" s="19" t="n">
        <v>0.05</v>
      </c>
      <c r="AP201" s="19" t="n">
        <v>0.16</v>
      </c>
      <c r="AQ201" s="19" t="n">
        <v>2.43</v>
      </c>
      <c r="AR201" s="19" t="n">
        <v>0.96</v>
      </c>
      <c r="AS201" s="19" t="n">
        <v>0</v>
      </c>
      <c r="AT201" s="19" t="n">
        <v>0.05</v>
      </c>
      <c r="AU201" s="19" t="n">
        <v>0.16</v>
      </c>
      <c r="AV201" s="19" t="n">
        <v>1.17</v>
      </c>
      <c r="AW201" s="17" t="n">
        <v>5.597133757961784</v>
      </c>
      <c r="AX201" s="18" t="inlineStr">
        <is>
          <t>-28cr</t>
        </is>
      </c>
      <c r="AY201" s="26" t="n">
        <v>1.723176542299379</v>
      </c>
      <c r="AZ201" s="26" t="n">
        <v>1.453221061498769</v>
      </c>
      <c r="BA201" s="26" t="n">
        <v>0.5385646789233657</v>
      </c>
      <c r="BB201" s="28" t="n">
        <v>1</v>
      </c>
      <c r="BC201" t="n">
        <v>0</v>
      </c>
      <c r="BD201" t="n">
        <v>1</v>
      </c>
      <c r="BE201" t="n">
        <v>0</v>
      </c>
      <c r="BF201" t="n">
        <v>0</v>
      </c>
      <c r="BG201" t="n">
        <v>0</v>
      </c>
      <c r="BH201" t="n">
        <v>0</v>
      </c>
    </row>
    <row r="202">
      <c r="A202" s="19" t="inlineStr">
        <is>
          <t>Bank of India Consumption Fund</t>
        </is>
      </c>
      <c r="B202" s="19" t="inlineStr">
        <is>
          <t>sectorial:thematic</t>
        </is>
      </c>
      <c r="C202" s="19" t="inlineStr">
        <is>
          <t>Nifty India Consumption TRI</t>
        </is>
      </c>
      <c r="D202" s="19" t="inlineStr">
        <is>
          <t>Very High</t>
        </is>
      </c>
      <c r="E202" s="19" t="inlineStr">
        <is>
          <t>Very High</t>
        </is>
      </c>
      <c r="F202" s="20" t="n">
        <v>46023</v>
      </c>
      <c r="G202" s="19" t="n">
        <v>11.04</v>
      </c>
      <c r="H202" s="19" t="n">
        <v>11.17</v>
      </c>
      <c r="I202" s="19" t="n">
        <v>11.477046</v>
      </c>
      <c r="J202" s="19" t="n">
        <v>3.367333</v>
      </c>
      <c r="K202" s="19" t="n">
        <v>8.109712999999999</v>
      </c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>
        <v>11.307295</v>
      </c>
      <c r="V202" s="19" t="n">
        <v>410.65</v>
      </c>
      <c r="W202" s="19" t="n">
        <v>0.4397500702868246</v>
      </c>
      <c r="X202" s="19" t="n">
        <v>0.2700008715616863</v>
      </c>
      <c r="Y202" s="19" t="n"/>
      <c r="Z202" s="19" t="n"/>
      <c r="AA202" s="19" t="n"/>
      <c r="AB202" s="19" t="n"/>
      <c r="AC202" s="19" t="n"/>
      <c r="AD202" s="19" t="n"/>
      <c r="AE202" s="19" t="n">
        <v>10.179641</v>
      </c>
      <c r="AF202" s="19" t="n"/>
      <c r="AG202" s="19" t="n"/>
      <c r="AH202" s="19" t="n"/>
      <c r="AI202" s="19" t="n">
        <v>9.659598000000001</v>
      </c>
      <c r="AJ202" s="19" t="n">
        <v>9.659598000000001</v>
      </c>
      <c r="AK202" s="19" t="n">
        <v>10.052866</v>
      </c>
      <c r="AL202" s="19" t="inlineStr">
        <is>
          <t>Equity Scheme - Sectoral/ Thematic</t>
        </is>
      </c>
      <c r="AM202" s="19" t="n">
        <v>2.25</v>
      </c>
      <c r="AN202" s="19" t="n">
        <v>0</v>
      </c>
      <c r="AO202" s="19" t="n">
        <v>0.05</v>
      </c>
      <c r="AP202" s="19" t="n">
        <v>0.18</v>
      </c>
      <c r="AQ202" s="19" t="n">
        <v>2.48</v>
      </c>
      <c r="AR202" s="19" t="n">
        <v>1.03</v>
      </c>
      <c r="AS202" s="19" t="n">
        <v>0</v>
      </c>
      <c r="AT202" s="19" t="n">
        <v>0.05</v>
      </c>
      <c r="AU202" s="19" t="n">
        <v>0.18</v>
      </c>
      <c r="AV202" s="19" t="n">
        <v>1.26</v>
      </c>
      <c r="AW202" s="17" t="n">
        <v>2.074759527578239</v>
      </c>
      <c r="AX202" s="18" t="inlineStr">
        <is>
          <t>-9cr</t>
        </is>
      </c>
      <c r="AY202" s="26" t="n">
        <v>0.8600852359238647</v>
      </c>
      <c r="AZ202" s="26" t="n">
        <v>1.453221061498769</v>
      </c>
      <c r="BA202" s="26" t="n">
        <v>0.5086580559338654</v>
      </c>
      <c r="BB202" s="28" t="n">
        <v>4</v>
      </c>
      <c r="BC202" t="n">
        <v>1</v>
      </c>
      <c r="BD202" t="n">
        <v>1</v>
      </c>
      <c r="BE202" t="n">
        <v>0</v>
      </c>
      <c r="BF202" t="n">
        <v>1</v>
      </c>
      <c r="BG202" t="n">
        <v>0</v>
      </c>
      <c r="BH202" t="n">
        <v>1</v>
      </c>
    </row>
    <row r="203">
      <c r="A203" s="19" t="inlineStr">
        <is>
          <t>Bank of India Manufacturing &amp; Infrastructure Fund</t>
        </is>
      </c>
      <c r="B203" s="19" t="inlineStr">
        <is>
          <t>sectorial:thematic</t>
        </is>
      </c>
      <c r="C203" s="19" t="inlineStr">
        <is>
          <t>BSE India Manufacturing Total Return Index (TRI) - 50% &amp; BSE India Infrastructure</t>
        </is>
      </c>
      <c r="D203" s="19" t="inlineStr">
        <is>
          <t>Very High</t>
        </is>
      </c>
      <c r="E203" s="19" t="inlineStr">
        <is>
          <t>Very High</t>
        </is>
      </c>
      <c r="F203" s="20" t="n">
        <v>46023</v>
      </c>
      <c r="G203" s="19" t="n">
        <v>59.89</v>
      </c>
      <c r="H203" s="19" t="n">
        <v>70.59</v>
      </c>
      <c r="I203" s="19" t="n">
        <v>9.560763</v>
      </c>
      <c r="J203" s="19" t="n">
        <v>4.036167</v>
      </c>
      <c r="K203" s="19" t="n">
        <v>5.524596</v>
      </c>
      <c r="L203" s="19" t="n">
        <v>27.152199</v>
      </c>
      <c r="M203" s="19" t="n">
        <v>3.376111999999999</v>
      </c>
      <c r="N203" s="19" t="n">
        <v>23.776087</v>
      </c>
      <c r="O203" s="19" t="n">
        <v>27.026268</v>
      </c>
      <c r="P203" s="19" t="n">
        <v>3.045965000000002</v>
      </c>
      <c r="Q203" s="19" t="n">
        <v>23.980303</v>
      </c>
      <c r="R203" s="19" t="n">
        <v>18.855026</v>
      </c>
      <c r="S203" s="19" t="n">
        <v>3.552718999999998</v>
      </c>
      <c r="T203" s="19" t="n">
        <v>15.302307</v>
      </c>
      <c r="U203" s="19" t="n">
        <v>17.612253</v>
      </c>
      <c r="V203" s="19" t="n">
        <v>678.64</v>
      </c>
      <c r="W203" s="19" t="n">
        <v>0.7127831222620871</v>
      </c>
      <c r="X203" s="19" t="n">
        <v>0.4860513989847379</v>
      </c>
      <c r="Y203" s="19" t="n">
        <v>0.3476973610649045</v>
      </c>
      <c r="Z203" s="19" t="n">
        <v>0.1858993378246993</v>
      </c>
      <c r="AA203" s="19" t="n">
        <v>0.3906676022457335</v>
      </c>
      <c r="AB203" s="19" t="n">
        <v>0.1862469976514265</v>
      </c>
      <c r="AC203" s="19" t="n">
        <v>0.3202379589354815</v>
      </c>
      <c r="AD203" s="19" t="n">
        <v>0.1353344904699957</v>
      </c>
      <c r="AE203" s="19" t="n">
        <v>7.8516116</v>
      </c>
      <c r="AF203" s="19" t="n">
        <v>17.269537</v>
      </c>
      <c r="AG203" s="19" t="n">
        <v>25.365278</v>
      </c>
      <c r="AH203" s="19" t="n">
        <v>25.298664</v>
      </c>
      <c r="AI203" s="19" t="n">
        <v>8.541463</v>
      </c>
      <c r="AJ203" s="19" t="n">
        <v>12.415245</v>
      </c>
      <c r="AK203" s="19" t="n">
        <v>11.964538</v>
      </c>
      <c r="AL203" s="19" t="inlineStr">
        <is>
          <t>Equity Scheme - Sectoral/ Thematic</t>
        </is>
      </c>
      <c r="AM203" s="19" t="n">
        <v>2.18</v>
      </c>
      <c r="AN203" s="19" t="n">
        <v>0</v>
      </c>
      <c r="AO203" s="19" t="n">
        <v>0.05</v>
      </c>
      <c r="AP203" s="19" t="n">
        <v>0.09</v>
      </c>
      <c r="AQ203" s="19" t="n">
        <v>2.32</v>
      </c>
      <c r="AR203" s="19" t="n">
        <v>0.57</v>
      </c>
      <c r="AS203" s="19" t="n">
        <v>0</v>
      </c>
      <c r="AT203" s="19" t="n">
        <v>0.05</v>
      </c>
      <c r="AU203" s="19" t="n">
        <v>0.09</v>
      </c>
      <c r="AV203" s="19" t="n">
        <v>0.71</v>
      </c>
      <c r="AW203" s="17" t="n">
        <v>-2.370918307202645</v>
      </c>
      <c r="AX203" t="inlineStr">
        <is>
          <t>16cr</t>
        </is>
      </c>
      <c r="AY203" s="26" t="n">
        <v>1.321616645070713</v>
      </c>
      <c r="AZ203" s="26" t="n">
        <v>1.453221061498769</v>
      </c>
      <c r="BA203" s="26" t="n">
        <v>0.6516740198887429</v>
      </c>
      <c r="BB203" s="28" t="n">
        <v>4</v>
      </c>
      <c r="BC203" t="n">
        <v>1</v>
      </c>
      <c r="BD203" t="n">
        <v>0</v>
      </c>
      <c r="BE203" t="n">
        <v>1</v>
      </c>
      <c r="BF203" t="n">
        <v>1</v>
      </c>
      <c r="BG203" t="n">
        <v>0</v>
      </c>
      <c r="BH203" t="n">
        <v>1</v>
      </c>
    </row>
    <row r="204">
      <c r="A204" s="19" t="inlineStr">
        <is>
          <t>Baroda BNP Paribas Banking and Financial Services Fund</t>
        </is>
      </c>
      <c r="B204" s="19" t="inlineStr">
        <is>
          <t>sectorial:thematic</t>
        </is>
      </c>
      <c r="C204" s="19" t="inlineStr">
        <is>
          <t>Nifty Financial Services TRI</t>
        </is>
      </c>
      <c r="D204" s="19" t="inlineStr">
        <is>
          <t>Very High</t>
        </is>
      </c>
      <c r="E204" s="19" t="inlineStr">
        <is>
          <t>Very High</t>
        </is>
      </c>
      <c r="F204" s="20" t="n">
        <v>46023</v>
      </c>
      <c r="G204" s="19" t="n">
        <v>50.0603</v>
      </c>
      <c r="H204" s="19" t="n">
        <v>56.4469</v>
      </c>
      <c r="I204" s="19" t="n">
        <v>16.033194</v>
      </c>
      <c r="J204" s="19" t="n">
        <v>-2.257026</v>
      </c>
      <c r="K204" s="19" t="n">
        <v>18.29022</v>
      </c>
      <c r="L204" s="19" t="n">
        <v>17.353214</v>
      </c>
      <c r="M204" s="19" t="n">
        <v>2.894624000000002</v>
      </c>
      <c r="N204" s="19" t="n">
        <v>14.45859</v>
      </c>
      <c r="O204" s="19" t="n">
        <v>15.492461</v>
      </c>
      <c r="P204" s="19" t="n">
        <v>1.771409</v>
      </c>
      <c r="Q204" s="19" t="n">
        <v>13.721052</v>
      </c>
      <c r="R204" s="19" t="n">
        <v>14.188794</v>
      </c>
      <c r="S204" s="19" t="n">
        <v>-1.2830545</v>
      </c>
      <c r="T204" s="19" t="n">
        <v>15.4718485</v>
      </c>
      <c r="U204" s="19" t="n">
        <v>12.507436</v>
      </c>
      <c r="V204" s="19" t="n">
        <v>374.33</v>
      </c>
      <c r="W204" s="19" t="n">
        <v>-0.591918995145441</v>
      </c>
      <c r="X204" s="19" t="n">
        <v>-1.082139959886193</v>
      </c>
      <c r="Y204" s="19" t="n">
        <v>-0.2220828349580427</v>
      </c>
      <c r="Z204" s="19" t="n">
        <v>-0.3883089018395973</v>
      </c>
      <c r="AA204" s="19" t="n">
        <v>0.5275685675350137</v>
      </c>
      <c r="AB204" s="19" t="n">
        <v>0.245267990381786</v>
      </c>
      <c r="AC204" s="19" t="n">
        <v>0.3075195127466345</v>
      </c>
      <c r="AD204" s="19" t="n">
        <v>0.06929854463684777</v>
      </c>
      <c r="AE204" s="19" t="n">
        <v>14.186817</v>
      </c>
      <c r="AF204" s="19" t="n">
        <v>13.125202</v>
      </c>
      <c r="AG204" s="19" t="n">
        <v>15.770402</v>
      </c>
      <c r="AH204" s="19" t="n">
        <v>14.150008</v>
      </c>
      <c r="AI204" s="19" t="n">
        <v>16.243338</v>
      </c>
      <c r="AJ204" s="19" t="n">
        <v>14.639613</v>
      </c>
      <c r="AK204" s="19" t="n">
        <v>12.634844</v>
      </c>
      <c r="AL204" s="19" t="inlineStr">
        <is>
          <t>Equity Scheme - Sectoral/ Thematic</t>
        </is>
      </c>
      <c r="AM204" s="19" t="n">
        <v>2.25</v>
      </c>
      <c r="AN204" s="19" t="n">
        <v>0</v>
      </c>
      <c r="AO204" s="19" t="n">
        <v>0.05</v>
      </c>
      <c r="AP204" s="19" t="n">
        <v>0.1</v>
      </c>
      <c r="AQ204" s="19" t="n">
        <v>2.4</v>
      </c>
      <c r="AR204" s="19" t="n">
        <v>0.61</v>
      </c>
      <c r="AS204" s="19" t="n">
        <v>0</v>
      </c>
      <c r="AT204" s="19" t="n">
        <v>0.05</v>
      </c>
      <c r="AU204" s="19" t="n">
        <v>0.1</v>
      </c>
      <c r="AV204" s="19" t="n">
        <v>0.76</v>
      </c>
      <c r="AW204" s="17" t="n">
        <v>-2.289423770469905</v>
      </c>
      <c r="AX204" t="inlineStr">
        <is>
          <t>9cr</t>
        </is>
      </c>
      <c r="AY204" s="26" t="n">
        <v>1.7917790310685</v>
      </c>
      <c r="AZ204" s="26" t="n">
        <v>1.453221061498769</v>
      </c>
      <c r="BA204" s="26" t="n">
        <v>0.5569683800910478</v>
      </c>
      <c r="BB204" s="28" t="n">
        <v>2</v>
      </c>
      <c r="BC204" t="n">
        <v>1</v>
      </c>
      <c r="BD204" t="n">
        <v>0</v>
      </c>
      <c r="BE204" t="n">
        <v>1</v>
      </c>
      <c r="BF204" t="n">
        <v>0</v>
      </c>
      <c r="BG204" t="n">
        <v>0</v>
      </c>
      <c r="BH204" t="n">
        <v>0</v>
      </c>
    </row>
    <row r="205">
      <c r="A205" s="19" t="inlineStr">
        <is>
          <t>Baroda BNP Paribas Business Conglomerates Fund</t>
        </is>
      </c>
      <c r="B205" s="19" t="inlineStr">
        <is>
          <t>sectorial:thematic</t>
        </is>
      </c>
      <c r="C205" s="19" t="inlineStr">
        <is>
          <t>Nifty Conglomerate 50 Index</t>
        </is>
      </c>
      <c r="D205" s="19" t="inlineStr">
        <is>
          <t>Very High</t>
        </is>
      </c>
      <c r="E205" s="19" t="inlineStr">
        <is>
          <t>Very High</t>
        </is>
      </c>
      <c r="F205" s="20" t="n">
        <v>46023</v>
      </c>
      <c r="G205" s="19" t="n">
        <v>10.3839</v>
      </c>
      <c r="H205" s="19" t="n">
        <v>10.4345</v>
      </c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>
        <v>768.54</v>
      </c>
      <c r="W205" s="19" t="n"/>
      <c r="X205" s="19" t="n"/>
      <c r="Y205" s="19" t="n"/>
      <c r="Z205" s="19" t="n"/>
      <c r="AA205" s="19" t="n"/>
      <c r="AB205" s="19" t="n"/>
      <c r="AC205" s="19" t="n"/>
      <c r="AD205" s="19" t="n"/>
      <c r="AE205" s="19" t="n"/>
      <c r="AF205" s="19" t="n"/>
      <c r="AG205" s="19" t="n"/>
      <c r="AH205" s="19" t="n"/>
      <c r="AI205" s="19" t="n"/>
      <c r="AJ205" s="19" t="n"/>
      <c r="AK205" s="19" t="n"/>
      <c r="AL205" s="19" t="inlineStr">
        <is>
          <t>Equity Scheme - Sectoral/ Thematic</t>
        </is>
      </c>
      <c r="AM205" s="19" t="n">
        <v>2.15</v>
      </c>
      <c r="AN205" s="19" t="n">
        <v>0</v>
      </c>
      <c r="AO205" s="19" t="n">
        <v>0.05</v>
      </c>
      <c r="AP205" s="19" t="n">
        <v>0.08</v>
      </c>
      <c r="AQ205" s="19" t="n">
        <v>2.28</v>
      </c>
      <c r="AR205" s="19" t="n">
        <v>0.47</v>
      </c>
      <c r="AS205" s="19" t="n">
        <v>0</v>
      </c>
      <c r="AT205" s="19" t="n">
        <v>0.05</v>
      </c>
      <c r="AU205" s="19" t="n">
        <v>0.08</v>
      </c>
      <c r="AV205" s="19" t="n">
        <v>0.6</v>
      </c>
      <c r="AW205" s="17" t="n">
        <v>0.9680693262549842</v>
      </c>
      <c r="AX205" s="18" t="inlineStr">
        <is>
          <t>-7cr</t>
        </is>
      </c>
      <c r="AY205" s="26" t="n">
        <v>1.041840857433224</v>
      </c>
      <c r="AZ205" s="26" t="n">
        <v>1.453221061498769</v>
      </c>
      <c r="BA205" s="26" t="n">
        <v>0.4349844450106126</v>
      </c>
      <c r="BB205" s="28" t="n">
        <v>3</v>
      </c>
      <c r="BC205" t="n">
        <v>0</v>
      </c>
      <c r="BD205" t="n">
        <v>1</v>
      </c>
      <c r="BE205" t="n">
        <v>1</v>
      </c>
      <c r="BF205" t="n">
        <v>0</v>
      </c>
      <c r="BG205" t="n">
        <v>0</v>
      </c>
      <c r="BH205" t="n">
        <v>1</v>
      </c>
    </row>
    <row r="206">
      <c r="A206" s="19" t="inlineStr">
        <is>
          <t>Baroda BNP Paribas Business Cycle Fund</t>
        </is>
      </c>
      <c r="B206" s="19" t="inlineStr">
        <is>
          <t>sectorial:thematic</t>
        </is>
      </c>
      <c r="C206" s="19" t="inlineStr">
        <is>
          <t>BSE 500 TRI</t>
        </is>
      </c>
      <c r="D206" s="19" t="inlineStr">
        <is>
          <t>Very High</t>
        </is>
      </c>
      <c r="E206" s="19" t="inlineStr">
        <is>
          <t>Very High</t>
        </is>
      </c>
      <c r="F206" s="20" t="n">
        <v>46023</v>
      </c>
      <c r="G206" s="19" t="n">
        <v>16.0948</v>
      </c>
      <c r="H206" s="19" t="n">
        <v>17.1364</v>
      </c>
      <c r="I206" s="19" t="n">
        <v>1.9307867</v>
      </c>
      <c r="J206" s="19" t="n">
        <v>-5.3582383</v>
      </c>
      <c r="K206" s="19" t="n">
        <v>7.289025</v>
      </c>
      <c r="L206" s="19" t="n">
        <v>18.298893</v>
      </c>
      <c r="M206" s="19" t="n">
        <v>1.884830999999998</v>
      </c>
      <c r="N206" s="19" t="n">
        <v>16.414062</v>
      </c>
      <c r="O206" s="19" t="n"/>
      <c r="P206" s="19" t="n"/>
      <c r="Q206" s="19" t="n"/>
      <c r="R206" s="19" t="n"/>
      <c r="S206" s="19" t="n"/>
      <c r="T206" s="19" t="n"/>
      <c r="U206" s="19" t="n">
        <v>13.348882</v>
      </c>
      <c r="V206" s="19" t="n">
        <v>584.87</v>
      </c>
      <c r="W206" s="19" t="n">
        <v>-1.67223694427051</v>
      </c>
      <c r="X206" s="19" t="n">
        <v>-2.145424659340862</v>
      </c>
      <c r="Y206" s="19" t="n"/>
      <c r="Z206" s="19" t="n"/>
      <c r="AA206" s="19" t="n">
        <v>0.4921852259826992</v>
      </c>
      <c r="AB206" s="19" t="n">
        <v>0.065824195075041</v>
      </c>
      <c r="AC206" s="19" t="n"/>
      <c r="AD206" s="19" t="n"/>
      <c r="AE206" s="19" t="n">
        <v>0.4211564</v>
      </c>
      <c r="AF206" s="19" t="n"/>
      <c r="AG206" s="19" t="n">
        <v>16.702194</v>
      </c>
      <c r="AH206" s="19" t="n"/>
      <c r="AI206" s="19" t="n">
        <v>12.401072</v>
      </c>
      <c r="AJ206" s="19" t="n">
        <v>12.401072</v>
      </c>
      <c r="AK206" s="19" t="n">
        <v>11.707346</v>
      </c>
      <c r="AL206" s="19" t="inlineStr">
        <is>
          <t>Equity Scheme - Sectoral/ Thematic</t>
        </is>
      </c>
      <c r="AM206" s="19" t="n">
        <v>2.21</v>
      </c>
      <c r="AN206" s="19" t="n">
        <v>0</v>
      </c>
      <c r="AO206" s="19" t="n">
        <v>0.05</v>
      </c>
      <c r="AP206" s="19" t="n">
        <v>0.13</v>
      </c>
      <c r="AQ206" s="19" t="n">
        <v>2.39</v>
      </c>
      <c r="AR206" s="19" t="n">
        <v>0.75</v>
      </c>
      <c r="AS206" s="19" t="n">
        <v>0</v>
      </c>
      <c r="AT206" s="19" t="n">
        <v>0.05</v>
      </c>
      <c r="AU206" s="19" t="n">
        <v>0.13</v>
      </c>
      <c r="AV206" s="19" t="n">
        <v>0.93</v>
      </c>
      <c r="AW206" s="17" t="n">
        <v>1.200266725939094</v>
      </c>
      <c r="AX206" s="18" t="inlineStr">
        <is>
          <t>-7cr</t>
        </is>
      </c>
      <c r="AY206" s="26" t="n">
        <v>1.5581700531779</v>
      </c>
      <c r="AZ206" s="26" t="n">
        <v>1.453221061498769</v>
      </c>
      <c r="BA206" s="26" t="n">
        <v>0.5006026442621344</v>
      </c>
      <c r="BB206" s="28" t="n">
        <v>1</v>
      </c>
      <c r="BC206" t="n">
        <v>0</v>
      </c>
      <c r="BD206" t="n">
        <v>1</v>
      </c>
      <c r="BE206" t="n">
        <v>0</v>
      </c>
      <c r="BF206" t="n">
        <v>0</v>
      </c>
      <c r="BG206" t="n">
        <v>0</v>
      </c>
      <c r="BH206" t="n">
        <v>0</v>
      </c>
    </row>
    <row r="207">
      <c r="A207" s="19" t="inlineStr">
        <is>
          <t>Baroda BNP Paribas Energy Opportunities Fund</t>
        </is>
      </c>
      <c r="B207" s="19" t="inlineStr">
        <is>
          <t>sectorial:thematic</t>
        </is>
      </c>
      <c r="C207" s="19" t="inlineStr">
        <is>
          <t>Nifty Energy TRI</t>
        </is>
      </c>
      <c r="D207" s="19" t="inlineStr">
        <is>
          <t>Very High</t>
        </is>
      </c>
      <c r="E207" s="19" t="inlineStr">
        <is>
          <t>Very High</t>
        </is>
      </c>
      <c r="F207" s="20" t="n">
        <v>46023</v>
      </c>
      <c r="G207" s="19" t="n">
        <v>11.5444</v>
      </c>
      <c r="H207" s="19" t="n">
        <v>11.7085</v>
      </c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>
        <v>720.5</v>
      </c>
      <c r="W207" s="19" t="n"/>
      <c r="X207" s="19" t="n"/>
      <c r="Y207" s="19" t="n"/>
      <c r="Z207" s="19" t="n"/>
      <c r="AA207" s="19" t="n"/>
      <c r="AB207" s="19" t="n"/>
      <c r="AC207" s="19" t="n"/>
      <c r="AD207" s="19" t="n"/>
      <c r="AE207" s="19" t="n"/>
      <c r="AF207" s="19" t="n"/>
      <c r="AG207" s="19" t="n"/>
      <c r="AH207" s="19" t="n"/>
      <c r="AI207" s="19" t="n"/>
      <c r="AJ207" s="19" t="n"/>
      <c r="AK207" s="19" t="n"/>
      <c r="AL207" s="19" t="inlineStr">
        <is>
          <t>Equity Scheme - Sectoral/ Thematic</t>
        </is>
      </c>
      <c r="AM207" s="19" t="n">
        <v>2.17</v>
      </c>
      <c r="AN207" s="19" t="n">
        <v>0</v>
      </c>
      <c r="AO207" s="19" t="n">
        <v>0.05</v>
      </c>
      <c r="AP207" s="19" t="n">
        <v>0.14</v>
      </c>
      <c r="AQ207" s="19" t="n">
        <v>2.36</v>
      </c>
      <c r="AR207" s="19" t="n">
        <v>0.82</v>
      </c>
      <c r="AS207" s="19" t="n">
        <v>0</v>
      </c>
      <c r="AT207" s="19" t="n">
        <v>0.05</v>
      </c>
      <c r="AU207" s="19" t="n">
        <v>0.14</v>
      </c>
      <c r="AV207" s="19" t="n">
        <v>1.01</v>
      </c>
      <c r="AW207" s="17" t="n">
        <v>0.6953504510756406</v>
      </c>
      <c r="AX207" s="18" t="inlineStr">
        <is>
          <t>-5cr</t>
        </is>
      </c>
      <c r="AY207" s="26" t="n">
        <v>1.327483361953475</v>
      </c>
      <c r="AZ207" s="26" t="n">
        <v>1.453221061498769</v>
      </c>
      <c r="BA207" s="26" t="n">
        <v>0.6196211534857063</v>
      </c>
      <c r="BB207" s="28" t="n">
        <v>2</v>
      </c>
      <c r="BC207" t="n">
        <v>0</v>
      </c>
      <c r="BD207" t="n">
        <v>1</v>
      </c>
      <c r="BE207" t="n">
        <v>0</v>
      </c>
      <c r="BF207" t="n">
        <v>0</v>
      </c>
      <c r="BG207" t="n">
        <v>0</v>
      </c>
      <c r="BH207" t="n">
        <v>1</v>
      </c>
    </row>
    <row r="208">
      <c r="A208" s="19" t="inlineStr">
        <is>
          <t>Baroda BNP Paribas Health and Wellness Fund</t>
        </is>
      </c>
      <c r="B208" s="19" t="inlineStr">
        <is>
          <t>sectorial:thematic</t>
        </is>
      </c>
      <c r="C208" s="19" t="inlineStr">
        <is>
          <t>BSE Healthcare TRI</t>
        </is>
      </c>
      <c r="D208" s="19" t="inlineStr">
        <is>
          <t>Very High</t>
        </is>
      </c>
      <c r="E208" s="19" t="inlineStr">
        <is>
          <t>Very High</t>
        </is>
      </c>
      <c r="F208" s="20" t="n">
        <v>46023</v>
      </c>
      <c r="G208" s="19" t="n">
        <v>9.4473</v>
      </c>
      <c r="H208" s="19" t="n">
        <v>9.5375</v>
      </c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>
        <v>585.5700000000001</v>
      </c>
      <c r="W208" s="19" t="n"/>
      <c r="X208" s="19" t="n"/>
      <c r="Y208" s="19" t="n"/>
      <c r="Z208" s="19" t="n"/>
      <c r="AA208" s="19" t="n"/>
      <c r="AB208" s="19" t="n"/>
      <c r="AC208" s="19" t="n"/>
      <c r="AD208" s="19" t="n"/>
      <c r="AE208" s="19" t="n"/>
      <c r="AF208" s="19" t="n"/>
      <c r="AG208" s="19" t="n"/>
      <c r="AH208" s="19" t="n"/>
      <c r="AI208" s="19" t="n"/>
      <c r="AJ208" s="19" t="n"/>
      <c r="AK208" s="19" t="n"/>
      <c r="AL208" s="19" t="inlineStr">
        <is>
          <t>Equity Scheme - Sectoral/ Thematic</t>
        </is>
      </c>
      <c r="AM208" s="19" t="n">
        <v>2.2</v>
      </c>
      <c r="AN208" s="19" t="n">
        <v>0</v>
      </c>
      <c r="AO208" s="19" t="n">
        <v>0.05</v>
      </c>
      <c r="AP208" s="19" t="n">
        <v>0.08</v>
      </c>
      <c r="AQ208" s="19" t="n">
        <v>2.33</v>
      </c>
      <c r="AR208" s="19" t="n">
        <v>0.47</v>
      </c>
      <c r="AS208" s="19" t="n">
        <v>0</v>
      </c>
      <c r="AT208" s="19" t="n">
        <v>0.05</v>
      </c>
      <c r="AU208" s="19" t="n">
        <v>0.08</v>
      </c>
      <c r="AV208" s="19" t="n">
        <v>0.6</v>
      </c>
      <c r="AW208" s="17" t="n">
        <v>3.71774510306197</v>
      </c>
      <c r="AX208" s="18" t="inlineStr">
        <is>
          <t>-22cr</t>
        </is>
      </c>
      <c r="AY208" s="26" t="n">
        <v>1.240728497852916</v>
      </c>
      <c r="AZ208" s="26" t="n">
        <v>1.453221061498769</v>
      </c>
      <c r="BA208" s="26" t="n">
        <v>0.509479489427537</v>
      </c>
      <c r="BB208" s="28" t="n">
        <v>3</v>
      </c>
      <c r="BC208" t="n">
        <v>0</v>
      </c>
      <c r="BD208" t="n">
        <v>1</v>
      </c>
      <c r="BE208" t="n">
        <v>1</v>
      </c>
      <c r="BF208" t="n">
        <v>0</v>
      </c>
      <c r="BG208" t="n">
        <v>0</v>
      </c>
      <c r="BH208" t="n">
        <v>1</v>
      </c>
    </row>
    <row r="209">
      <c r="A209" s="19" t="inlineStr">
        <is>
          <t>Baroda BNP Paribas India Consumption Fund</t>
        </is>
      </c>
      <c r="B209" s="19" t="inlineStr">
        <is>
          <t>sectorial:thematic</t>
        </is>
      </c>
      <c r="C209" s="19" t="inlineStr">
        <is>
          <t>Nifty India Consumption TRI</t>
        </is>
      </c>
      <c r="D209" s="19" t="inlineStr">
        <is>
          <t>Very High</t>
        </is>
      </c>
      <c r="E209" s="19" t="inlineStr">
        <is>
          <t>Very High</t>
        </is>
      </c>
      <c r="F209" s="20" t="n">
        <v>46023</v>
      </c>
      <c r="G209" s="19" t="n">
        <v>32.1077</v>
      </c>
      <c r="H209" s="19" t="n">
        <v>35.7974</v>
      </c>
      <c r="I209" s="19" t="n">
        <v>1.4214196</v>
      </c>
      <c r="J209" s="19" t="n">
        <v>-6.688293399999999</v>
      </c>
      <c r="K209" s="19" t="n">
        <v>8.109712999999999</v>
      </c>
      <c r="L209" s="19" t="n">
        <v>18.374445</v>
      </c>
      <c r="M209" s="19" t="n">
        <v>-0.1322459999999985</v>
      </c>
      <c r="N209" s="19" t="n">
        <v>18.506691</v>
      </c>
      <c r="O209" s="19" t="n">
        <v>17.730816</v>
      </c>
      <c r="P209" s="19" t="n">
        <v>0.9552669999999992</v>
      </c>
      <c r="Q209" s="19" t="n">
        <v>16.775549</v>
      </c>
      <c r="R209" s="19" t="n"/>
      <c r="S209" s="19" t="n"/>
      <c r="T209" s="19" t="n"/>
      <c r="U209" s="19" t="n">
        <v>19.022427</v>
      </c>
      <c r="V209" s="19" t="n">
        <v>1542.69</v>
      </c>
      <c r="W209" s="19" t="n">
        <v>-1.650121057910799</v>
      </c>
      <c r="X209" s="19" t="n">
        <v>-2.017983805255553</v>
      </c>
      <c r="Y209" s="19" t="n"/>
      <c r="Z209" s="19" t="n"/>
      <c r="AA209" s="19" t="n">
        <v>-0.05234256092881358</v>
      </c>
      <c r="AB209" s="19" t="n">
        <v>-0.4598283061282131</v>
      </c>
      <c r="AC209" s="19" t="n">
        <v>0.1504990106057349</v>
      </c>
      <c r="AD209" s="19" t="n">
        <v>-0.1653663261369949</v>
      </c>
      <c r="AE209" s="19" t="n">
        <v>-0.028956627</v>
      </c>
      <c r="AF209" s="19" t="n"/>
      <c r="AG209" s="19" t="n">
        <v>16.673244</v>
      </c>
      <c r="AH209" s="19" t="n">
        <v>16.01773</v>
      </c>
      <c r="AI209" s="19" t="n">
        <v>13.561044</v>
      </c>
      <c r="AJ209" s="19" t="n">
        <v>13.561044</v>
      </c>
      <c r="AK209" s="19" t="n">
        <v>17.267546</v>
      </c>
      <c r="AL209" s="19" t="inlineStr">
        <is>
          <t>Equity Scheme - Sectoral/ Thematic</t>
        </is>
      </c>
      <c r="AM209" s="19" t="n">
        <v>1.95</v>
      </c>
      <c r="AN209" s="19" t="n">
        <v>0</v>
      </c>
      <c r="AO209" s="19" t="n">
        <v>0.05</v>
      </c>
      <c r="AP209" s="19" t="n">
        <v>0.08</v>
      </c>
      <c r="AQ209" s="19" t="n">
        <v>2.08</v>
      </c>
      <c r="AR209" s="19" t="n">
        <v>0.51</v>
      </c>
      <c r="AS209" s="19" t="n">
        <v>0</v>
      </c>
      <c r="AT209" s="19" t="n">
        <v>0.05</v>
      </c>
      <c r="AU209" s="19" t="n">
        <v>0.08</v>
      </c>
      <c r="AV209" s="19" t="n">
        <v>0.64</v>
      </c>
      <c r="AW209" s="17" t="n">
        <v>0.8362016996285619</v>
      </c>
      <c r="AX209" s="18" t="inlineStr">
        <is>
          <t>-13cr</t>
        </is>
      </c>
      <c r="AY209" s="26" t="n">
        <v>0.7770706802238203</v>
      </c>
      <c r="AZ209" s="26" t="n">
        <v>1.453221061498769</v>
      </c>
      <c r="BA209" s="26" t="n">
        <v>0.4516848161240473</v>
      </c>
      <c r="BB209" s="28" t="n">
        <v>3</v>
      </c>
      <c r="BC209" t="n">
        <v>0</v>
      </c>
      <c r="BD209" t="n">
        <v>1</v>
      </c>
      <c r="BE209" t="n">
        <v>1</v>
      </c>
      <c r="BF209" t="n">
        <v>0</v>
      </c>
      <c r="BG209" t="n">
        <v>0</v>
      </c>
      <c r="BH209" t="n">
        <v>1</v>
      </c>
    </row>
    <row r="210">
      <c r="A210" s="19" t="inlineStr">
        <is>
          <t>Baroda BNP Paribas Innovation Fund</t>
        </is>
      </c>
      <c r="B210" s="19" t="inlineStr">
        <is>
          <t>sectorial:thematic</t>
        </is>
      </c>
      <c r="C210" s="19" t="inlineStr">
        <is>
          <t>Nifty 500 TRI</t>
        </is>
      </c>
      <c r="D210" s="19" t="inlineStr">
        <is>
          <t>Very High</t>
        </is>
      </c>
      <c r="E210" s="19" t="inlineStr">
        <is>
          <t>Very High</t>
        </is>
      </c>
      <c r="F210" s="20" t="n">
        <v>46023</v>
      </c>
      <c r="G210" s="19" t="n">
        <v>12.5895</v>
      </c>
      <c r="H210" s="19" t="n">
        <v>12.9418</v>
      </c>
      <c r="I210" s="19" t="n">
        <v>-0.94904256</v>
      </c>
      <c r="J210" s="19" t="n">
        <v>-8.36807086</v>
      </c>
      <c r="K210" s="19" t="n">
        <v>7.4190283</v>
      </c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>
        <v>15.155967</v>
      </c>
      <c r="V210" s="19" t="n">
        <v>921.47</v>
      </c>
      <c r="W210" s="19" t="n">
        <v>-1.287466636102966</v>
      </c>
      <c r="X210" s="19" t="n">
        <v>-1.50204850143391</v>
      </c>
      <c r="Y210" s="19" t="n"/>
      <c r="Z210" s="19" t="n"/>
      <c r="AA210" s="19" t="n"/>
      <c r="AB210" s="19" t="n"/>
      <c r="AC210" s="19" t="n"/>
      <c r="AD210" s="19" t="n"/>
      <c r="AE210" s="19" t="n">
        <v>-2.230385</v>
      </c>
      <c r="AF210" s="19" t="n"/>
      <c r="AG210" s="19" t="n"/>
      <c r="AH210" s="19" t="n"/>
      <c r="AI210" s="19" t="n">
        <v>10.197031</v>
      </c>
      <c r="AJ210" s="19" t="n">
        <v>10.197031</v>
      </c>
      <c r="AK210" s="19" t="n">
        <v>13.42983</v>
      </c>
      <c r="AL210" s="19" t="inlineStr">
        <is>
          <t>Equity Scheme - Sectoral/ Thematic</t>
        </is>
      </c>
      <c r="AM210" s="19" t="n">
        <v>2.08</v>
      </c>
      <c r="AN210" s="19" t="n">
        <v>0</v>
      </c>
      <c r="AO210" s="19" t="n">
        <v>0.05</v>
      </c>
      <c r="AP210" s="19" t="n">
        <v>0.14</v>
      </c>
      <c r="AQ210" s="19" t="n">
        <v>2.27</v>
      </c>
      <c r="AR210" s="19" t="n">
        <v>0.82</v>
      </c>
      <c r="AS210" s="19" t="n">
        <v>0</v>
      </c>
      <c r="AT210" s="19" t="n">
        <v>0.05</v>
      </c>
      <c r="AU210" s="19" t="n">
        <v>0.14</v>
      </c>
      <c r="AV210" s="19" t="n">
        <v>1.01</v>
      </c>
      <c r="AW210" s="17" t="n">
        <v>4.423367011405688</v>
      </c>
      <c r="AX210" s="18" t="inlineStr">
        <is>
          <t>-41cr</t>
        </is>
      </c>
      <c r="AY210" s="26" t="n">
        <v>1.600778904864942</v>
      </c>
      <c r="AZ210" s="26" t="n">
        <v>1.453221061498769</v>
      </c>
      <c r="BA210" s="26" t="n">
        <v>0.617535828795804</v>
      </c>
      <c r="BB210" s="28" t="n">
        <v>1</v>
      </c>
      <c r="BC210" t="n">
        <v>0</v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</row>
    <row r="211">
      <c r="A211" s="19" t="inlineStr">
        <is>
          <t>Baroda BNP Paribas Manufacturing Fund</t>
        </is>
      </c>
      <c r="B211" s="19" t="inlineStr">
        <is>
          <t>sectorial:thematic</t>
        </is>
      </c>
      <c r="C211" s="19" t="inlineStr">
        <is>
          <t>Nifty India Manufacturing TRI</t>
        </is>
      </c>
      <c r="D211" s="19" t="inlineStr">
        <is>
          <t>Very High</t>
        </is>
      </c>
      <c r="E211" s="19" t="inlineStr">
        <is>
          <t>Very High</t>
        </is>
      </c>
      <c r="F211" s="20" t="n">
        <v>46023</v>
      </c>
      <c r="G211" s="19" t="n">
        <v>10.1334</v>
      </c>
      <c r="H211" s="19" t="n">
        <v>10.3619</v>
      </c>
      <c r="I211" s="19" t="n">
        <v>8.655167</v>
      </c>
      <c r="J211" s="19" t="n">
        <v>-3.395804999999999</v>
      </c>
      <c r="K211" s="19" t="n">
        <v>12.050972</v>
      </c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>
        <v>2.378561</v>
      </c>
      <c r="V211" s="19" t="n">
        <v>970.63</v>
      </c>
      <c r="W211" s="19" t="n">
        <v>-0.7482625947443423</v>
      </c>
      <c r="X211" s="19" t="n">
        <v>-1.059412453255087</v>
      </c>
      <c r="Y211" s="19" t="n"/>
      <c r="Z211" s="19" t="n"/>
      <c r="AA211" s="19" t="n"/>
      <c r="AB211" s="19" t="n"/>
      <c r="AC211" s="19" t="n"/>
      <c r="AD211" s="19" t="n"/>
      <c r="AE211" s="19" t="n">
        <v>7.1580396</v>
      </c>
      <c r="AF211" s="19" t="n"/>
      <c r="AG211" s="19" t="n"/>
      <c r="AH211" s="19" t="n"/>
      <c r="AI211" s="19" t="n">
        <v>4.5303364</v>
      </c>
      <c r="AJ211" s="19" t="n">
        <v>4.5303364</v>
      </c>
      <c r="AK211" s="19" t="n">
        <v>0.8801020000000001</v>
      </c>
      <c r="AL211" s="19" t="inlineStr">
        <is>
          <t>Equity Scheme - Sectoral/ Thematic</t>
        </is>
      </c>
      <c r="AM211" s="19" t="n">
        <v>2.05</v>
      </c>
      <c r="AN211" s="19" t="n">
        <v>0</v>
      </c>
      <c r="AO211" s="19" t="n">
        <v>0.05</v>
      </c>
      <c r="AP211" s="19" t="n">
        <v>0.17</v>
      </c>
      <c r="AQ211" s="19" t="n">
        <v>2.27</v>
      </c>
      <c r="AR211" s="19" t="n">
        <v>0.93</v>
      </c>
      <c r="AS211" s="19" t="n">
        <v>0</v>
      </c>
      <c r="AT211" s="19" t="n">
        <v>0.05</v>
      </c>
      <c r="AU211" s="19" t="n">
        <v>0.17</v>
      </c>
      <c r="AV211" s="19" t="n">
        <v>1.15</v>
      </c>
      <c r="AW211" s="17" t="n">
        <v>6.653410671419597</v>
      </c>
      <c r="AX211" s="18" t="inlineStr">
        <is>
          <t>-65cr</t>
        </is>
      </c>
      <c r="AY211" s="26" t="n">
        <v>1.313414454246472</v>
      </c>
      <c r="AZ211" s="26" t="n">
        <v>1.453221061498769</v>
      </c>
      <c r="BA211" s="26" t="n">
        <v>0.5185864549589373</v>
      </c>
      <c r="BB211" s="28" t="n">
        <v>3</v>
      </c>
      <c r="BC211" t="n">
        <v>1</v>
      </c>
      <c r="BD211" t="n">
        <v>1</v>
      </c>
      <c r="BE211" t="n">
        <v>0</v>
      </c>
      <c r="BF211" t="n">
        <v>0</v>
      </c>
      <c r="BG211" t="n">
        <v>0</v>
      </c>
      <c r="BH211" t="n">
        <v>1</v>
      </c>
    </row>
    <row r="212">
      <c r="A212" s="19" t="inlineStr">
        <is>
          <t>Canara Robeco Consumer Trends Fund</t>
        </is>
      </c>
      <c r="B212" s="19" t="inlineStr">
        <is>
          <t>sectorial:thematic</t>
        </is>
      </c>
      <c r="C212" s="19" t="inlineStr">
        <is>
          <t>BSE 100 TRI</t>
        </is>
      </c>
      <c r="D212" s="19" t="inlineStr">
        <is>
          <t>Very High</t>
        </is>
      </c>
      <c r="E212" s="19" t="inlineStr">
        <is>
          <t>Very High</t>
        </is>
      </c>
      <c r="F212" s="20" t="n">
        <v>46023</v>
      </c>
      <c r="G212" s="19" t="n">
        <v>111.16</v>
      </c>
      <c r="H212" s="19" t="n">
        <v>128.53</v>
      </c>
      <c r="I212" s="19" t="n">
        <v>4.123461</v>
      </c>
      <c r="J212" s="19" t="n">
        <v>-6.025554000000001</v>
      </c>
      <c r="K212" s="19" t="n">
        <v>10.149015</v>
      </c>
      <c r="L212" s="19" t="n">
        <v>17.68584</v>
      </c>
      <c r="M212" s="19" t="n">
        <v>2.138304999999999</v>
      </c>
      <c r="N212" s="19" t="n">
        <v>15.547535</v>
      </c>
      <c r="O212" s="19" t="n">
        <v>18.099451</v>
      </c>
      <c r="P212" s="19" t="n">
        <v>2.501818999999998</v>
      </c>
      <c r="Q212" s="19" t="n">
        <v>15.597632</v>
      </c>
      <c r="R212" s="19" t="n">
        <v>17.312994</v>
      </c>
      <c r="S212" s="19" t="n">
        <v>2.907738</v>
      </c>
      <c r="T212" s="19" t="n">
        <v>14.405256</v>
      </c>
      <c r="U212" s="19" t="n">
        <v>17.054495</v>
      </c>
      <c r="V212" s="19" t="n">
        <v>2021.49</v>
      </c>
      <c r="W212" s="19" t="n">
        <v>-0.9226787833569091</v>
      </c>
      <c r="X212" s="19" t="n">
        <v>-1.132792728303832</v>
      </c>
      <c r="Y212" s="19" t="n">
        <v>0.3972391301220874</v>
      </c>
      <c r="Z212" s="19" t="n">
        <v>0.1975817894238362</v>
      </c>
      <c r="AA212" s="19" t="n">
        <v>0.3023242702688416</v>
      </c>
      <c r="AB212" s="19" t="n">
        <v>0.09167424969741873</v>
      </c>
      <c r="AC212" s="19" t="n">
        <v>0.3548230240980286</v>
      </c>
      <c r="AD212" s="19" t="n">
        <v>0.1398603724500146</v>
      </c>
      <c r="AE212" s="19" t="n">
        <v>2.8307123</v>
      </c>
      <c r="AF212" s="19" t="n">
        <v>15.88432</v>
      </c>
      <c r="AG212" s="19" t="n">
        <v>16.21695</v>
      </c>
      <c r="AH212" s="19" t="n">
        <v>16.588823</v>
      </c>
      <c r="AI212" s="19" t="n">
        <v>12.626266</v>
      </c>
      <c r="AJ212" s="19" t="n">
        <v>13.800322</v>
      </c>
      <c r="AK212" s="19" t="n">
        <v>15.912666</v>
      </c>
      <c r="AL212" s="19" t="inlineStr">
        <is>
          <t>Equity Scheme - Sectoral/ Thematic</t>
        </is>
      </c>
      <c r="AM212" s="19" t="n">
        <v>1.91</v>
      </c>
      <c r="AN212" s="19" t="n">
        <v>0</v>
      </c>
      <c r="AO212" s="19" t="n">
        <v>0.05</v>
      </c>
      <c r="AP212" s="19" t="n">
        <v>0.11</v>
      </c>
      <c r="AQ212" s="19" t="n">
        <v>2.07</v>
      </c>
      <c r="AR212" s="19" t="n">
        <v>0.65</v>
      </c>
      <c r="AS212" s="19" t="n">
        <v>0</v>
      </c>
      <c r="AT212" s="19" t="n">
        <v>0.05</v>
      </c>
      <c r="AU212" s="19" t="n">
        <v>0.11</v>
      </c>
      <c r="AV212" s="19" t="n">
        <v>0.8100000000000001</v>
      </c>
      <c r="AW212" s="17" t="n">
        <v>0.7449950284196284</v>
      </c>
      <c r="AX212" s="18" t="inlineStr">
        <is>
          <t>-15cr</t>
        </is>
      </c>
      <c r="AY212" s="26" t="n">
        <v>1.00083257997192</v>
      </c>
      <c r="AZ212" s="26" t="n">
        <v>1.453221061498769</v>
      </c>
      <c r="BA212" s="26" t="n">
        <v>0.5138236929490464</v>
      </c>
      <c r="BB212" s="28" t="n">
        <v>3</v>
      </c>
      <c r="BC212" t="n">
        <v>0</v>
      </c>
      <c r="BD212" t="n">
        <v>1</v>
      </c>
      <c r="BE212" t="n">
        <v>1</v>
      </c>
      <c r="BF212" t="n">
        <v>0</v>
      </c>
      <c r="BG212" t="n">
        <v>0</v>
      </c>
      <c r="BH212" t="n">
        <v>1</v>
      </c>
    </row>
    <row r="213">
      <c r="A213" s="19" t="inlineStr">
        <is>
          <t>Canara Robeco Manufacturing Fund</t>
        </is>
      </c>
      <c r="B213" s="19" t="inlineStr">
        <is>
          <t>sectorial:thematic</t>
        </is>
      </c>
      <c r="C213" s="19" t="inlineStr">
        <is>
          <t>Nifty India Manufacturing TRI</t>
        </is>
      </c>
      <c r="D213" s="19" t="inlineStr">
        <is>
          <t>Very High</t>
        </is>
      </c>
      <c r="E213" s="19" t="inlineStr">
        <is>
          <t>Very High</t>
        </is>
      </c>
      <c r="F213" s="20" t="n">
        <v>46023</v>
      </c>
      <c r="G213" s="19" t="n">
        <v>12.44</v>
      </c>
      <c r="H213" s="19" t="n">
        <v>12.76</v>
      </c>
      <c r="I213" s="19" t="n">
        <v>1.6733068</v>
      </c>
      <c r="J213" s="19" t="n">
        <v>-10.3776652</v>
      </c>
      <c r="K213" s="19" t="n">
        <v>12.050972</v>
      </c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>
        <v>14.406334</v>
      </c>
      <c r="V213" s="19" t="n">
        <v>1593.07</v>
      </c>
      <c r="W213" s="19" t="n">
        <v>-1.90123684547265</v>
      </c>
      <c r="X213" s="19" t="n">
        <v>-2.120671261059067</v>
      </c>
      <c r="Y213" s="19" t="n"/>
      <c r="Z213" s="19" t="n"/>
      <c r="AA213" s="19" t="n"/>
      <c r="AB213" s="19" t="n"/>
      <c r="AC213" s="19" t="n"/>
      <c r="AD213" s="19" t="n"/>
      <c r="AE213" s="19" t="n">
        <v>0.40355125</v>
      </c>
      <c r="AF213" s="19" t="n"/>
      <c r="AG213" s="19" t="n"/>
      <c r="AH213" s="19" t="n"/>
      <c r="AI213" s="19" t="n">
        <v>15.303241</v>
      </c>
      <c r="AJ213" s="19" t="n">
        <v>15.303241</v>
      </c>
      <c r="AK213" s="19" t="n">
        <v>12.813016</v>
      </c>
      <c r="AL213" s="19" t="inlineStr">
        <is>
          <t>Equity Scheme - Sectoral/ Thematic</t>
        </is>
      </c>
      <c r="AM213" s="19" t="n">
        <v>1.96</v>
      </c>
      <c r="AN213" s="19" t="n">
        <v>0</v>
      </c>
      <c r="AO213" s="19" t="n">
        <v>0.05</v>
      </c>
      <c r="AP213" s="19" t="n">
        <v>0.11</v>
      </c>
      <c r="AQ213" s="19" t="n">
        <v>2.12</v>
      </c>
      <c r="AR213" s="19" t="n">
        <v>0.66</v>
      </c>
      <c r="AS213" s="19" t="n">
        <v>0</v>
      </c>
      <c r="AT213" s="19" t="n">
        <v>0.05</v>
      </c>
      <c r="AU213" s="19" t="n">
        <v>0.11</v>
      </c>
      <c r="AV213" s="19" t="n">
        <v>0.82</v>
      </c>
      <c r="AW213" s="17" t="n">
        <v>2.792720972713064</v>
      </c>
      <c r="AX213" s="18" t="inlineStr">
        <is>
          <t>-44cr</t>
        </is>
      </c>
      <c r="AY213" s="26" t="n">
        <v>1.595556302741612</v>
      </c>
      <c r="AZ213" s="26" t="n">
        <v>1.453221061498769</v>
      </c>
      <c r="BA213" s="26" t="n">
        <v>0.6417145853435963</v>
      </c>
      <c r="BB213" s="28" t="n">
        <v>2</v>
      </c>
      <c r="BC213" t="n">
        <v>0</v>
      </c>
      <c r="BD213" t="n">
        <v>1</v>
      </c>
      <c r="BE213" t="n">
        <v>1</v>
      </c>
      <c r="BF213" t="n">
        <v>0</v>
      </c>
      <c r="BG213" t="n">
        <v>0</v>
      </c>
      <c r="BH213" t="n">
        <v>0</v>
      </c>
    </row>
    <row r="214">
      <c r="A214" s="19" t="inlineStr">
        <is>
          <t>Edelweiss Business Cycle Fund</t>
        </is>
      </c>
      <c r="B214" s="19" t="inlineStr">
        <is>
          <t>sectorial:thematic</t>
        </is>
      </c>
      <c r="C214" s="19" t="inlineStr">
        <is>
          <t>Nifty 500 TRI</t>
        </is>
      </c>
      <c r="D214" s="19" t="inlineStr">
        <is>
          <t>Very High</t>
        </is>
      </c>
      <c r="E214" s="19" t="inlineStr">
        <is>
          <t>Very High</t>
        </is>
      </c>
      <c r="F214" s="20" t="n">
        <v>46023</v>
      </c>
      <c r="G214" s="19" t="n">
        <v>9.062099999999999</v>
      </c>
      <c r="H214" s="19" t="n">
        <v>9.2759</v>
      </c>
      <c r="I214" s="19" t="n">
        <v>-2.3044436</v>
      </c>
      <c r="J214" s="19" t="n">
        <v>-9.7234719</v>
      </c>
      <c r="K214" s="19" t="n">
        <v>7.4190283</v>
      </c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>
        <v>-5.479708</v>
      </c>
      <c r="V214" s="19" t="n">
        <v>1697.9</v>
      </c>
      <c r="W214" s="19" t="n">
        <v>-1.618924251992883</v>
      </c>
      <c r="X214" s="19" t="n">
        <v>-1.903200369865161</v>
      </c>
      <c r="Y214" s="19" t="n"/>
      <c r="Z214" s="19" t="n"/>
      <c r="AA214" s="19" t="n"/>
      <c r="AB214" s="19" t="n"/>
      <c r="AC214" s="19" t="n"/>
      <c r="AD214" s="19" t="n"/>
      <c r="AE214" s="19" t="n">
        <v>-3.8524382</v>
      </c>
      <c r="AF214" s="19" t="n"/>
      <c r="AG214" s="19" t="n"/>
      <c r="AH214" s="19" t="n"/>
      <c r="AI214" s="19" t="n">
        <v>2.0699112</v>
      </c>
      <c r="AJ214" s="19" t="n">
        <v>2.0699112</v>
      </c>
      <c r="AK214" s="19" t="n">
        <v>-7.008043</v>
      </c>
      <c r="AL214" s="19" t="inlineStr">
        <is>
          <t>Equity Scheme - Sectoral/ Thematic</t>
        </is>
      </c>
      <c r="AM214" s="19" t="n">
        <v>1.95</v>
      </c>
      <c r="AN214" s="19" t="n">
        <v>0</v>
      </c>
      <c r="AO214" s="19" t="n">
        <v>0.05</v>
      </c>
      <c r="AP214" s="19" t="n">
        <v>0.07000000000000001</v>
      </c>
      <c r="AQ214" s="19" t="n">
        <v>2.07</v>
      </c>
      <c r="AR214" s="19" t="n">
        <v>0.41</v>
      </c>
      <c r="AS214" s="19" t="n">
        <v>0</v>
      </c>
      <c r="AT214" s="19" t="n">
        <v>0.05</v>
      </c>
      <c r="AU214" s="19" t="n">
        <v>0.07000000000000001</v>
      </c>
      <c r="AV214" s="19" t="n">
        <v>0.53</v>
      </c>
      <c r="AW214" s="17" t="n">
        <v>2.35349549443429</v>
      </c>
      <c r="AX214" s="18" t="inlineStr">
        <is>
          <t>-40cr</t>
        </is>
      </c>
      <c r="AY214" s="26" t="n">
        <v>0.9956341347766966</v>
      </c>
      <c r="AZ214" s="26" t="n">
        <v>1.453221061498769</v>
      </c>
      <c r="BA214" s="26" t="n">
        <v>0.6053581445642491</v>
      </c>
      <c r="BB214" s="28" t="n">
        <v>3</v>
      </c>
      <c r="BC214" t="n">
        <v>0</v>
      </c>
      <c r="BD214" t="n">
        <v>1</v>
      </c>
      <c r="BE214" t="n">
        <v>1</v>
      </c>
      <c r="BF214" t="n">
        <v>0</v>
      </c>
      <c r="BG214" t="n">
        <v>0</v>
      </c>
      <c r="BH214" t="n">
        <v>1</v>
      </c>
    </row>
    <row r="215">
      <c r="A215" s="19" t="inlineStr">
        <is>
          <t>Edelweiss Consumption Fund</t>
        </is>
      </c>
      <c r="B215" s="19" t="inlineStr">
        <is>
          <t>sectorial:thematic</t>
        </is>
      </c>
      <c r="C215" s="19" t="inlineStr">
        <is>
          <t>Nifty India Consumption TRI</t>
        </is>
      </c>
      <c r="D215" s="19" t="inlineStr">
        <is>
          <t>Very High</t>
        </is>
      </c>
      <c r="E215" s="19" t="inlineStr">
        <is>
          <t>Very High</t>
        </is>
      </c>
      <c r="F215" s="20" t="n">
        <v>46023</v>
      </c>
      <c r="G215" s="19" t="n">
        <v>11.4537</v>
      </c>
      <c r="H215" s="19" t="n">
        <v>11.6241</v>
      </c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>
        <v>506.42</v>
      </c>
      <c r="W215" s="19" t="n"/>
      <c r="X215" s="19" t="n"/>
      <c r="Y215" s="19" t="n"/>
      <c r="Z215" s="19" t="n"/>
      <c r="AA215" s="19" t="n"/>
      <c r="AB215" s="19" t="n"/>
      <c r="AC215" s="19" t="n"/>
      <c r="AD215" s="19" t="n"/>
      <c r="AE215" s="19" t="n"/>
      <c r="AF215" s="19" t="n"/>
      <c r="AG215" s="19" t="n"/>
      <c r="AH215" s="19" t="n"/>
      <c r="AI215" s="19" t="n"/>
      <c r="AJ215" s="19" t="n"/>
      <c r="AK215" s="19" t="n"/>
      <c r="AL215" s="19" t="inlineStr">
        <is>
          <t>Equity Scheme - Sectoral/ Thematic</t>
        </is>
      </c>
      <c r="AM215" s="19" t="n">
        <v>2.25</v>
      </c>
      <c r="AN215" s="19" t="n">
        <v>0</v>
      </c>
      <c r="AO215" s="19" t="n">
        <v>0.05</v>
      </c>
      <c r="AP215" s="19" t="n">
        <v>0.1</v>
      </c>
      <c r="AQ215" s="19" t="n">
        <v>2.4</v>
      </c>
      <c r="AR215" s="19" t="n">
        <v>0.6</v>
      </c>
      <c r="AS215" s="19" t="n">
        <v>0</v>
      </c>
      <c r="AT215" s="19" t="n">
        <v>0.05</v>
      </c>
      <c r="AU215" s="19" t="n">
        <v>0.1</v>
      </c>
      <c r="AV215" s="19" t="n">
        <v>0.75</v>
      </c>
      <c r="AW215" s="17" t="n">
        <v>-2.640101101852218</v>
      </c>
      <c r="AX215" t="inlineStr">
        <is>
          <t>13cr</t>
        </is>
      </c>
      <c r="AY215" s="26" t="n">
        <v>0.9323634630966142</v>
      </c>
      <c r="AZ215" s="26" t="n">
        <v>1.453221061498769</v>
      </c>
      <c r="BA215" s="26" t="n">
        <v>0.4740583497926811</v>
      </c>
      <c r="BB215" s="28" t="n">
        <v>2</v>
      </c>
      <c r="BC215" t="n">
        <v>0</v>
      </c>
      <c r="BD215" t="n">
        <v>0</v>
      </c>
      <c r="BE215" t="n">
        <v>1</v>
      </c>
      <c r="BF215" t="n">
        <v>0</v>
      </c>
      <c r="BG215" t="n">
        <v>0</v>
      </c>
      <c r="BH215" t="n">
        <v>1</v>
      </c>
    </row>
    <row r="216">
      <c r="A216" s="19" t="inlineStr">
        <is>
          <t>Edelweiss Recently Listed IPO Fund</t>
        </is>
      </c>
      <c r="B216" s="19" t="inlineStr">
        <is>
          <t>sectorial:thematic</t>
        </is>
      </c>
      <c r="C216" s="19" t="inlineStr">
        <is>
          <t>Nifty IPO TRI</t>
        </is>
      </c>
      <c r="D216" s="19" t="inlineStr">
        <is>
          <t>Very High</t>
        </is>
      </c>
      <c r="E216" s="19" t="inlineStr">
        <is>
          <t>Very High</t>
        </is>
      </c>
      <c r="F216" s="20" t="n">
        <v>46023</v>
      </c>
      <c r="G216" s="19" t="n">
        <v>26.8966</v>
      </c>
      <c r="H216" s="19" t="n">
        <v>28.9655</v>
      </c>
      <c r="I216" s="19" t="n">
        <v>-5.390045</v>
      </c>
      <c r="J216" s="19" t="n">
        <v>3.660283000000001</v>
      </c>
      <c r="K216" s="19" t="n">
        <v>-9.050328</v>
      </c>
      <c r="L216" s="19" t="n">
        <v>19.023813</v>
      </c>
      <c r="M216" s="19" t="n">
        <v>4.472579000000001</v>
      </c>
      <c r="N216" s="19" t="n">
        <v>14.551234</v>
      </c>
      <c r="O216" s="19" t="n">
        <v>16.338758</v>
      </c>
      <c r="P216" s="19" t="n">
        <v>7.608904999999998</v>
      </c>
      <c r="Q216" s="19" t="n">
        <v>8.729853</v>
      </c>
      <c r="R216" s="19" t="n"/>
      <c r="S216" s="19" t="n"/>
      <c r="T216" s="19" t="n"/>
      <c r="U216" s="19" t="n">
        <v>14.482991</v>
      </c>
      <c r="V216" s="19" t="n">
        <v>938.45</v>
      </c>
      <c r="W216" s="19" t="n">
        <v>0.8315143688288417</v>
      </c>
      <c r="X216" s="19" t="n">
        <v>0.5562968217736196</v>
      </c>
      <c r="Y216" s="19" t="n"/>
      <c r="Z216" s="19" t="n"/>
      <c r="AA216" s="19" t="n">
        <v>0.6520315500628173</v>
      </c>
      <c r="AB216" s="19" t="n">
        <v>0.4214000889299044</v>
      </c>
      <c r="AC216" s="19" t="n">
        <v>1.177906851257344</v>
      </c>
      <c r="AD216" s="19" t="n">
        <v>0.9615674982240693</v>
      </c>
      <c r="AE216" s="19" t="n">
        <v>-6.592811</v>
      </c>
      <c r="AF216" s="19" t="n"/>
      <c r="AG216" s="19" t="n">
        <v>17.49271</v>
      </c>
      <c r="AH216" s="19" t="n">
        <v>14.946154</v>
      </c>
      <c r="AI216" s="19" t="n">
        <v>7.075468</v>
      </c>
      <c r="AJ216" s="19" t="n">
        <v>7.075468</v>
      </c>
      <c r="AK216" s="19" t="n">
        <v>13.409105</v>
      </c>
      <c r="AL216" s="19" t="inlineStr">
        <is>
          <t>Equity Scheme - Sectoral/ Thematic</t>
        </is>
      </c>
      <c r="AM216" s="19" t="n">
        <v>2.11</v>
      </c>
      <c r="AN216" s="19" t="n">
        <v>0</v>
      </c>
      <c r="AO216" s="19" t="n">
        <v>0.05</v>
      </c>
      <c r="AP216" s="19" t="n">
        <v>0.14</v>
      </c>
      <c r="AQ216" s="19" t="n">
        <v>2.3</v>
      </c>
      <c r="AR216" s="19" t="n">
        <v>0.83</v>
      </c>
      <c r="AS216" s="19" t="n">
        <v>0</v>
      </c>
      <c r="AT216" s="19" t="n">
        <v>0.05</v>
      </c>
      <c r="AU216" s="19" t="n">
        <v>0.14</v>
      </c>
      <c r="AV216" s="19" t="n">
        <v>1.02</v>
      </c>
      <c r="AW216" s="17" t="n">
        <v>0.9238638179977579</v>
      </c>
      <c r="AX216" s="18" t="inlineStr">
        <is>
          <t>-9cr</t>
        </is>
      </c>
      <c r="AY216" s="26" t="n">
        <v>1.664624687189998</v>
      </c>
      <c r="AZ216" s="26" t="n">
        <v>1.453221061498769</v>
      </c>
      <c r="BA216" s="26" t="n">
        <v>0.6692370492199341</v>
      </c>
      <c r="BB216" s="28" t="n">
        <v>2</v>
      </c>
      <c r="BC216" t="n">
        <v>0</v>
      </c>
      <c r="BD216" t="n">
        <v>1</v>
      </c>
      <c r="BE216" t="n">
        <v>0</v>
      </c>
      <c r="BF216" t="n">
        <v>1</v>
      </c>
      <c r="BG216" t="n">
        <v>0</v>
      </c>
      <c r="BH216" t="n">
        <v>0</v>
      </c>
    </row>
    <row r="217">
      <c r="A217" s="19" t="inlineStr">
        <is>
          <t>Edelweiss Technology Fund</t>
        </is>
      </c>
      <c r="B217" s="19" t="inlineStr">
        <is>
          <t>sectorial:thematic</t>
        </is>
      </c>
      <c r="C217" s="19" t="inlineStr">
        <is>
          <t>BSE Teck TRI</t>
        </is>
      </c>
      <c r="D217" s="19" t="inlineStr">
        <is>
          <t>Very High</t>
        </is>
      </c>
      <c r="E217" s="19" t="inlineStr">
        <is>
          <t>Very High</t>
        </is>
      </c>
      <c r="F217" s="20" t="n">
        <v>46023</v>
      </c>
      <c r="G217" s="19" t="n">
        <v>12.3021</v>
      </c>
      <c r="H217" s="19" t="n">
        <v>12.6976</v>
      </c>
      <c r="I217" s="19" t="n">
        <v>2.1060333</v>
      </c>
      <c r="J217" s="19" t="n">
        <v>4.7563393</v>
      </c>
      <c r="K217" s="19" t="n">
        <v>-2.650306</v>
      </c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>
        <v>13.961779</v>
      </c>
      <c r="V217" s="19" t="n">
        <v>738.2</v>
      </c>
      <c r="W217" s="19" t="n">
        <v>0.416641658709506</v>
      </c>
      <c r="X217" s="19" t="n">
        <v>0.2560338978632003</v>
      </c>
      <c r="Y217" s="19" t="n"/>
      <c r="Z217" s="19" t="n"/>
      <c r="AA217" s="19" t="n"/>
      <c r="AB217" s="19" t="n"/>
      <c r="AC217" s="19" t="n"/>
      <c r="AD217" s="19" t="n"/>
      <c r="AE217" s="19" t="n">
        <v>0.38105652</v>
      </c>
      <c r="AF217" s="19" t="n"/>
      <c r="AG217" s="19" t="n"/>
      <c r="AH217" s="19" t="n"/>
      <c r="AI217" s="19" t="n">
        <v>8.329879999999999</v>
      </c>
      <c r="AJ217" s="19" t="n">
        <v>8.329879999999999</v>
      </c>
      <c r="AK217" s="19" t="n">
        <v>12.005416</v>
      </c>
      <c r="AL217" s="19" t="inlineStr">
        <is>
          <t>Equity Scheme - Sectoral/ Thematic</t>
        </is>
      </c>
      <c r="AM217" s="19" t="n">
        <v>2.17</v>
      </c>
      <c r="AN217" s="19" t="n">
        <v>0</v>
      </c>
      <c r="AO217" s="19" t="n">
        <v>0.05</v>
      </c>
      <c r="AP217" s="19" t="n">
        <v>0.08</v>
      </c>
      <c r="AQ217" s="19" t="n">
        <v>2.3</v>
      </c>
      <c r="AR217" s="19" t="n">
        <v>0.48</v>
      </c>
      <c r="AS217" s="19" t="n">
        <v>0</v>
      </c>
      <c r="AT217" s="19" t="n">
        <v>0.05</v>
      </c>
      <c r="AU217" s="19" t="n">
        <v>0.08</v>
      </c>
      <c r="AV217" s="19" t="n">
        <v>0.61</v>
      </c>
      <c r="AW217" s="17" t="n">
        <v>-0.02709292874560356</v>
      </c>
      <c r="AX217" t="inlineStr">
        <is>
          <t>0cr</t>
        </is>
      </c>
      <c r="AY217" s="26" t="n">
        <v>1.98310048271653</v>
      </c>
      <c r="AZ217" s="26" t="n">
        <v>1.453221061498769</v>
      </c>
      <c r="BA217" s="26" t="n">
        <v>0.6890012012553728</v>
      </c>
      <c r="BB217" s="28" t="n">
        <v>2</v>
      </c>
      <c r="BC217" t="n">
        <v>0</v>
      </c>
      <c r="BD217" t="n">
        <v>0</v>
      </c>
      <c r="BE217" t="n">
        <v>1</v>
      </c>
      <c r="BF217" t="n">
        <v>1</v>
      </c>
      <c r="BG217" t="n">
        <v>0</v>
      </c>
      <c r="BH217" t="n">
        <v>0</v>
      </c>
    </row>
    <row r="218">
      <c r="A218" s="19" t="inlineStr">
        <is>
          <t>Franklin Asian Equity Fund</t>
        </is>
      </c>
      <c r="B218" s="19" t="inlineStr">
        <is>
          <t>sectorial:thematic</t>
        </is>
      </c>
      <c r="C218" s="19" t="inlineStr">
        <is>
          <t>75% MSCI Asia (Ex-Japan) Standard Index + 25% Nifty 500 Index</t>
        </is>
      </c>
      <c r="D218" s="19" t="inlineStr">
        <is>
          <t>Very High</t>
        </is>
      </c>
      <c r="E218" s="19" t="inlineStr">
        <is>
          <t>Very High</t>
        </is>
      </c>
      <c r="F218" s="20" t="n">
        <v>46023</v>
      </c>
      <c r="G218" s="19" t="n">
        <v>35.6561</v>
      </c>
      <c r="H218" s="19" t="n">
        <v>39.1358</v>
      </c>
      <c r="I218" s="19" t="n">
        <v>24.911987</v>
      </c>
      <c r="J218" s="19" t="n">
        <v>-6.337910000000001</v>
      </c>
      <c r="K218" s="19" t="n">
        <v>31.249897</v>
      </c>
      <c r="L218" s="19" t="n">
        <v>13.609217</v>
      </c>
      <c r="M218" s="19" t="n">
        <v>-3.789127000000002</v>
      </c>
      <c r="N218" s="19" t="n">
        <v>17.398344</v>
      </c>
      <c r="O218" s="19" t="n">
        <v>3.6881332</v>
      </c>
      <c r="P218" s="19" t="n">
        <v>-3.4486623</v>
      </c>
      <c r="Q218" s="19" t="n">
        <v>7.1367955</v>
      </c>
      <c r="R218" s="19" t="n">
        <v>9.611891</v>
      </c>
      <c r="S218" s="19" t="n">
        <v>-1.966593</v>
      </c>
      <c r="T218" s="19" t="n">
        <v>11.578484</v>
      </c>
      <c r="U218" s="19" t="n">
        <v>8.741986000000001</v>
      </c>
      <c r="V218" s="19" t="n">
        <v>316.04</v>
      </c>
      <c r="W218" s="19" t="n">
        <v>-1.61936139825604</v>
      </c>
      <c r="X218" s="19" t="n">
        <v>-1.892186456721186</v>
      </c>
      <c r="Y218" s="19" t="n">
        <v>-0.2930298260226527</v>
      </c>
      <c r="Z218" s="19" t="n">
        <v>-0.4247083522378984</v>
      </c>
      <c r="AA218" s="19" t="n">
        <v>-0.9950019242365713</v>
      </c>
      <c r="AB218" s="19" t="n">
        <v>-1.2716076475233</v>
      </c>
      <c r="AC218" s="19" t="n">
        <v>-0.7220259434534019</v>
      </c>
      <c r="AD218" s="19" t="n">
        <v>-0.9194619996621844</v>
      </c>
      <c r="AE218" s="19" t="n">
        <v>23.85837</v>
      </c>
      <c r="AF218" s="19" t="n">
        <v>8.789127000000001</v>
      </c>
      <c r="AG218" s="19" t="n">
        <v>12.591463</v>
      </c>
      <c r="AH218" s="19" t="n">
        <v>2.8044186</v>
      </c>
      <c r="AI218" s="19" t="n">
        <v>9.929845</v>
      </c>
      <c r="AJ218" s="19" t="n">
        <v>10.302159</v>
      </c>
      <c r="AK218" s="19" t="n">
        <v>7.3299336</v>
      </c>
      <c r="AL218" s="19" t="inlineStr">
        <is>
          <t>Equity Scheme - Sectoral/ Thematic</t>
        </is>
      </c>
      <c r="AM218" s="19" t="n">
        <v>2.25</v>
      </c>
      <c r="AN218" s="19" t="n">
        <v>0</v>
      </c>
      <c r="AO218" s="19" t="n">
        <v>0.05</v>
      </c>
      <c r="AP218" s="19" t="n">
        <v>0.25</v>
      </c>
      <c r="AQ218" s="19" t="n">
        <v>2.55</v>
      </c>
      <c r="AR218" s="19" t="n">
        <v>1.38</v>
      </c>
      <c r="AS218" s="19" t="n">
        <v>0</v>
      </c>
      <c r="AT218" s="19" t="n">
        <v>0.05</v>
      </c>
      <c r="AU218" s="19" t="n">
        <v>0.24</v>
      </c>
      <c r="AV218" s="19" t="n">
        <v>1.67</v>
      </c>
      <c r="AW218" s="17" t="n">
        <v>-5.670168333122394</v>
      </c>
      <c r="AX218" t="inlineStr">
        <is>
          <t>18cr</t>
        </is>
      </c>
      <c r="AY218" s="26" t="n">
        <v>1.498708177197981</v>
      </c>
      <c r="AZ218" s="26" t="n">
        <v>1.453221061498769</v>
      </c>
      <c r="BA218" s="26" t="n">
        <v>0.8629553774723778</v>
      </c>
      <c r="BB218" s="28" t="n">
        <v>1</v>
      </c>
      <c r="BC218" t="n">
        <v>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</row>
    <row r="219">
      <c r="A219" s="19" t="inlineStr">
        <is>
          <t>Franklin Build India Fund</t>
        </is>
      </c>
      <c r="B219" s="19" t="inlineStr">
        <is>
          <t>sectorial:thematic</t>
        </is>
      </c>
      <c r="C219" s="19" t="inlineStr">
        <is>
          <t>BSE India Infrastructure TRI</t>
        </is>
      </c>
      <c r="D219" s="19" t="inlineStr">
        <is>
          <t>Very High</t>
        </is>
      </c>
      <c r="E219" s="19" t="inlineStr">
        <is>
          <t>Very High</t>
        </is>
      </c>
      <c r="F219" s="20" t="n">
        <v>46023</v>
      </c>
      <c r="G219" s="19" t="n">
        <v>144.1722</v>
      </c>
      <c r="H219" s="19" t="n">
        <v>166.5614</v>
      </c>
      <c r="I219" s="19" t="n">
        <v>4.6523275</v>
      </c>
      <c r="J219" s="19" t="n">
        <v>6.5441789</v>
      </c>
      <c r="K219" s="19" t="n">
        <v>-1.8918514</v>
      </c>
      <c r="L219" s="19" t="n">
        <v>27.539984</v>
      </c>
      <c r="M219" s="19" t="n">
        <v>0.2428939999999997</v>
      </c>
      <c r="N219" s="19" t="n">
        <v>27.29709</v>
      </c>
      <c r="O219" s="19" t="n">
        <v>27.980188</v>
      </c>
      <c r="P219" s="19" t="n">
        <v>-0.9226140000000029</v>
      </c>
      <c r="Q219" s="19" t="n">
        <v>28.902802</v>
      </c>
      <c r="R219" s="19" t="n">
        <v>18.881044</v>
      </c>
      <c r="S219" s="19" t="n">
        <v>2.807924</v>
      </c>
      <c r="T219" s="19" t="n">
        <v>16.07312</v>
      </c>
      <c r="U219" s="19" t="n">
        <v>21.235863</v>
      </c>
      <c r="V219" s="19" t="n">
        <v>3052.65</v>
      </c>
      <c r="W219" s="19" t="n">
        <v>0.700139267495834</v>
      </c>
      <c r="X219" s="19" t="n">
        <v>0.5693843087509156</v>
      </c>
      <c r="Y219" s="19" t="n">
        <v>0.1640011495559466</v>
      </c>
      <c r="Z219" s="19" t="n">
        <v>0.05259848411463849</v>
      </c>
      <c r="AA219" s="19" t="n">
        <v>-0.1145280294909818</v>
      </c>
      <c r="AB219" s="19" t="n">
        <v>-0.2160036377069101</v>
      </c>
      <c r="AC219" s="19" t="n">
        <v>-0.1779079695056345</v>
      </c>
      <c r="AD219" s="19" t="n">
        <v>-0.2782475170352764</v>
      </c>
      <c r="AE219" s="19" t="n">
        <v>3.5804656</v>
      </c>
      <c r="AF219" s="19" t="n">
        <v>17.54135</v>
      </c>
      <c r="AG219" s="19" t="n">
        <v>26.212294</v>
      </c>
      <c r="AH219" s="19" t="n">
        <v>26.668266</v>
      </c>
      <c r="AI219" s="19" t="n"/>
      <c r="AJ219" s="19" t="n">
        <v>15.12513</v>
      </c>
      <c r="AK219" s="19" t="n">
        <v>17.743263</v>
      </c>
      <c r="AL219" s="19" t="inlineStr">
        <is>
          <t>Equity Scheme - Sectoral/ Thematic</t>
        </is>
      </c>
      <c r="AM219" s="19" t="n">
        <v>1.81</v>
      </c>
      <c r="AN219" s="19" t="n">
        <v>0</v>
      </c>
      <c r="AO219" s="19" t="n">
        <v>0.05</v>
      </c>
      <c r="AP219" s="19" t="n">
        <v>0.14</v>
      </c>
      <c r="AQ219" s="19" t="n">
        <v>2</v>
      </c>
      <c r="AR219" s="19" t="n">
        <v>0.83</v>
      </c>
      <c r="AS219" s="19" t="n">
        <v>0</v>
      </c>
      <c r="AT219" s="19" t="n">
        <v>0.05</v>
      </c>
      <c r="AU219" s="19" t="n">
        <v>0.14</v>
      </c>
      <c r="AV219" s="19" t="n">
        <v>1.02</v>
      </c>
      <c r="AW219" s="17" t="n">
        <v>0.2080159861104257</v>
      </c>
      <c r="AX219" s="18" t="inlineStr">
        <is>
          <t>-6cr</t>
        </is>
      </c>
      <c r="AY219" s="26" t="n">
        <v>1.430273804454562</v>
      </c>
      <c r="AZ219" s="26" t="n">
        <v>1.453221061498769</v>
      </c>
      <c r="BA219" s="26" t="n">
        <v>0.5862783207042144</v>
      </c>
      <c r="BB219" s="28" t="n">
        <v>4</v>
      </c>
      <c r="BC219" t="n">
        <v>1</v>
      </c>
      <c r="BD219" t="n">
        <v>1</v>
      </c>
      <c r="BE219" t="n">
        <v>0</v>
      </c>
      <c r="BF219" t="n">
        <v>1</v>
      </c>
      <c r="BG219" t="n">
        <v>0</v>
      </c>
      <c r="BH219" t="n">
        <v>1</v>
      </c>
    </row>
    <row r="220">
      <c r="A220" s="19" t="inlineStr">
        <is>
          <t>Franklin India Multi-Factor Fund</t>
        </is>
      </c>
      <c r="B220" s="19" t="inlineStr">
        <is>
          <t>sectorial:thematic</t>
        </is>
      </c>
      <c r="C220" s="19" t="inlineStr">
        <is>
          <t>BSE 200 TRI</t>
        </is>
      </c>
      <c r="D220" s="19" t="inlineStr">
        <is>
          <t>Very High</t>
        </is>
      </c>
      <c r="E220" s="19" t="inlineStr">
        <is>
          <t>Very High</t>
        </is>
      </c>
      <c r="F220" s="20" t="n">
        <v>46023</v>
      </c>
      <c r="G220" s="19" t="n">
        <v>10.0898</v>
      </c>
      <c r="H220" s="19" t="n">
        <v>10.1055</v>
      </c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>
        <v>472.36</v>
      </c>
      <c r="W220" s="19" t="n"/>
      <c r="X220" s="19" t="n"/>
      <c r="Y220" s="19" t="n"/>
      <c r="Z220" s="19" t="n"/>
      <c r="AA220" s="19" t="n"/>
      <c r="AB220" s="19" t="n"/>
      <c r="AC220" s="19" t="n"/>
      <c r="AD220" s="19" t="n"/>
      <c r="AE220" s="19" t="n"/>
      <c r="AF220" s="19" t="n"/>
      <c r="AG220" s="19" t="n"/>
      <c r="AH220" s="19" t="n"/>
      <c r="AI220" s="19" t="n"/>
      <c r="AJ220" s="19" t="n"/>
      <c r="AK220" s="19" t="n"/>
      <c r="AL220" s="19" t="inlineStr">
        <is>
          <t>Equity Scheme - Sectoral/ Thematic</t>
        </is>
      </c>
      <c r="AM220" s="19" t="n">
        <v>2.25</v>
      </c>
      <c r="AN220" s="19" t="n">
        <v>0</v>
      </c>
      <c r="AO220" s="19" t="n">
        <v>0</v>
      </c>
      <c r="AP220" s="19" t="n">
        <v>0.09</v>
      </c>
      <c r="AQ220" s="19" t="n">
        <v>2.34</v>
      </c>
      <c r="AR220" s="19" t="n">
        <v>0.58</v>
      </c>
      <c r="AS220" s="19" t="n">
        <v>0</v>
      </c>
      <c r="AT220" s="19" t="n">
        <v>0</v>
      </c>
      <c r="AU220" s="19" t="n">
        <v>0.09</v>
      </c>
      <c r="AV220" s="19" t="n">
        <v>0.67</v>
      </c>
      <c r="AY220" s="26" t="n">
        <v>0.6254557646870339</v>
      </c>
      <c r="AZ220" s="26" t="n">
        <v>1.453221061498769</v>
      </c>
      <c r="BA220" s="26" t="n">
        <v>0.4898716785960848</v>
      </c>
      <c r="BB220" s="28" t="n">
        <v>2</v>
      </c>
      <c r="BC220" t="n">
        <v>0</v>
      </c>
      <c r="BD220" t="n">
        <v>0</v>
      </c>
      <c r="BE220" t="n">
        <v>1</v>
      </c>
      <c r="BF220" t="n">
        <v>0</v>
      </c>
      <c r="BG220" t="n">
        <v>0</v>
      </c>
      <c r="BH220" t="n">
        <v>1</v>
      </c>
    </row>
    <row r="221">
      <c r="A221" s="19" t="inlineStr">
        <is>
          <t>Franklin India Opportunities Fund</t>
        </is>
      </c>
      <c r="B221" s="19" t="inlineStr">
        <is>
          <t>sectorial:thematic</t>
        </is>
      </c>
      <c r="C221" s="19" t="inlineStr">
        <is>
          <t>Nifty 500 TRI</t>
        </is>
      </c>
      <c r="D221" s="19" t="inlineStr">
        <is>
          <t>Very High</t>
        </is>
      </c>
      <c r="E221" s="19" t="inlineStr">
        <is>
          <t>Very High</t>
        </is>
      </c>
      <c r="F221" s="20" t="n">
        <v>46023</v>
      </c>
      <c r="G221" s="19" t="n">
        <v>259.6535</v>
      </c>
      <c r="H221" s="19" t="n">
        <v>288.0639</v>
      </c>
      <c r="I221" s="19" t="n">
        <v>4.183071</v>
      </c>
      <c r="J221" s="19" t="n">
        <v>-3.2359573</v>
      </c>
      <c r="K221" s="19" t="n">
        <v>7.4190283</v>
      </c>
      <c r="L221" s="19" t="n">
        <v>31.060085</v>
      </c>
      <c r="M221" s="19" t="n">
        <v>14.337856</v>
      </c>
      <c r="N221" s="19" t="n">
        <v>16.722229</v>
      </c>
      <c r="O221" s="19" t="n">
        <v>23.703434</v>
      </c>
      <c r="P221" s="19" t="n">
        <v>6.914717000000003</v>
      </c>
      <c r="Q221" s="19" t="n">
        <v>16.788717</v>
      </c>
      <c r="R221" s="19" t="n">
        <v>17.79006</v>
      </c>
      <c r="S221" s="19" t="n">
        <v>3.057121</v>
      </c>
      <c r="T221" s="19" t="n">
        <v>14.732939</v>
      </c>
      <c r="U221" s="19" t="n">
        <v>17.988796</v>
      </c>
      <c r="V221" s="19" t="n">
        <v>8400.58</v>
      </c>
      <c r="W221" s="19" t="n">
        <v>-0.7140090130399112</v>
      </c>
      <c r="X221" s="19" t="n">
        <v>-1.012136546424854</v>
      </c>
      <c r="Y221" s="19" t="n">
        <v>0.512690783372927</v>
      </c>
      <c r="Z221" s="19" t="n">
        <v>0.3410916747673575</v>
      </c>
      <c r="AA221" s="19" t="n">
        <v>2.00254311990431</v>
      </c>
      <c r="AB221" s="19" t="n">
        <v>1.805523394913405</v>
      </c>
      <c r="AC221" s="19" t="n">
        <v>1.035477154660382</v>
      </c>
      <c r="AD221" s="19" t="n">
        <v>0.8657049431414023</v>
      </c>
      <c r="AE221" s="19" t="n">
        <v>2.8939908</v>
      </c>
      <c r="AF221" s="19" t="n">
        <v>16.747955</v>
      </c>
      <c r="AG221" s="19" t="n">
        <v>29.563261</v>
      </c>
      <c r="AH221" s="19" t="n">
        <v>22.519812</v>
      </c>
      <c r="AI221" s="19" t="n">
        <v>12.347914</v>
      </c>
      <c r="AJ221" s="19" t="n">
        <v>14.41386</v>
      </c>
      <c r="AK221" s="19" t="n">
        <v>13.410476</v>
      </c>
      <c r="AL221" s="19" t="inlineStr">
        <is>
          <t>Equity Scheme - Sectoral/ Thematic</t>
        </is>
      </c>
      <c r="AM221" s="19" t="n">
        <v>1.64</v>
      </c>
      <c r="AN221" s="19" t="n">
        <v>0</v>
      </c>
      <c r="AO221" s="19" t="n">
        <v>0.05</v>
      </c>
      <c r="AP221" s="19" t="n">
        <v>0.07000000000000001</v>
      </c>
      <c r="AQ221" s="19" t="n">
        <v>1.76</v>
      </c>
      <c r="AR221" s="19" t="n">
        <v>0.46</v>
      </c>
      <c r="AS221" s="19" t="n">
        <v>0</v>
      </c>
      <c r="AT221" s="19" t="n">
        <v>0.05</v>
      </c>
      <c r="AU221" s="19" t="n">
        <v>0.07000000000000001</v>
      </c>
      <c r="AV221" s="19" t="n">
        <v>0.58</v>
      </c>
      <c r="AW221" s="17" t="n">
        <v>-1.073497306138389</v>
      </c>
      <c r="AX221" t="inlineStr">
        <is>
          <t>90cr</t>
        </is>
      </c>
      <c r="AY221" s="26" t="n">
        <v>1.073711409305857</v>
      </c>
      <c r="AZ221" s="26" t="n">
        <v>1.453221061498769</v>
      </c>
      <c r="BA221" s="26" t="n">
        <v>0.5412795013255681</v>
      </c>
      <c r="BB221" s="28" t="n">
        <v>3</v>
      </c>
      <c r="BC221" t="n">
        <v>1</v>
      </c>
      <c r="BD221" t="n">
        <v>0</v>
      </c>
      <c r="BE221" t="n">
        <v>1</v>
      </c>
      <c r="BF221" t="n">
        <v>0</v>
      </c>
      <c r="BG221" t="n">
        <v>0</v>
      </c>
      <c r="BH221" t="n">
        <v>1</v>
      </c>
    </row>
    <row r="222">
      <c r="A222" s="19" t="inlineStr">
        <is>
          <t>Franklin India Technology Fund</t>
        </is>
      </c>
      <c r="B222" s="19" t="inlineStr">
        <is>
          <t>sectorial:thematic</t>
        </is>
      </c>
      <c r="C222" s="19" t="inlineStr">
        <is>
          <t>BSE Teck TRI</t>
        </is>
      </c>
      <c r="D222" s="19" t="inlineStr">
        <is>
          <t>Very High</t>
        </is>
      </c>
      <c r="E222" s="19" t="inlineStr">
        <is>
          <t>Very High</t>
        </is>
      </c>
      <c r="F222" s="20" t="n">
        <v>46023</v>
      </c>
      <c r="G222" s="19" t="n">
        <v>540.1900000000001</v>
      </c>
      <c r="H222" s="19" t="n">
        <v>597.5992</v>
      </c>
      <c r="I222" s="19" t="n">
        <v>-0.36913154</v>
      </c>
      <c r="J222" s="19" t="n">
        <v>2.28117446</v>
      </c>
      <c r="K222" s="19" t="n">
        <v>-2.650306</v>
      </c>
      <c r="L222" s="19" t="n">
        <v>25.536165</v>
      </c>
      <c r="M222" s="19" t="n">
        <v>11.901692</v>
      </c>
      <c r="N222" s="19" t="n">
        <v>13.634473</v>
      </c>
      <c r="O222" s="19" t="n">
        <v>16.726637</v>
      </c>
      <c r="P222" s="19" t="n">
        <v>4.064193</v>
      </c>
      <c r="Q222" s="19" t="n">
        <v>12.662444</v>
      </c>
      <c r="R222" s="19" t="n">
        <v>17.83879</v>
      </c>
      <c r="S222" s="19" t="n">
        <v>3.886210999999999</v>
      </c>
      <c r="T222" s="19" t="n">
        <v>13.952579</v>
      </c>
      <c r="U222" s="19" t="n">
        <v>19.140663</v>
      </c>
      <c r="V222" s="19" t="n">
        <v>2003.11</v>
      </c>
      <c r="W222" s="19" t="n">
        <v>0.2749637401064076</v>
      </c>
      <c r="X222" s="19" t="n">
        <v>0.1206980849542137</v>
      </c>
      <c r="Y222" s="19" t="n">
        <v>0.328491841563719</v>
      </c>
      <c r="Z222" s="19" t="n">
        <v>0.2301985520989212</v>
      </c>
      <c r="AA222" s="19" t="n">
        <v>1.037783866592146</v>
      </c>
      <c r="AB222" s="19" t="n">
        <v>0.9235804050966848</v>
      </c>
      <c r="AC222" s="19" t="n">
        <v>0.3377964585035207</v>
      </c>
      <c r="AD222" s="19" t="n">
        <v>0.2281708513271249</v>
      </c>
      <c r="AE222" s="19" t="n">
        <v>-1.4081448</v>
      </c>
      <c r="AF222" s="19" t="n">
        <v>16.838442</v>
      </c>
      <c r="AG222" s="19" t="n">
        <v>24.221405</v>
      </c>
      <c r="AH222" s="19" t="n">
        <v>15.555092</v>
      </c>
      <c r="AI222" s="19" t="n"/>
      <c r="AJ222" s="19" t="n">
        <v>15.901679</v>
      </c>
      <c r="AK222" s="19" t="n">
        <v>18.650646</v>
      </c>
      <c r="AL222" s="19" t="inlineStr">
        <is>
          <t>Equity Scheme - Sectoral/ Thematic</t>
        </is>
      </c>
      <c r="AM222" s="19" t="n">
        <v>1.91</v>
      </c>
      <c r="AN222" s="19" t="n">
        <v>0</v>
      </c>
      <c r="AO222" s="19" t="n">
        <v>0.05</v>
      </c>
      <c r="AP222" s="19" t="n">
        <v>0.15</v>
      </c>
      <c r="AQ222" s="19" t="n">
        <v>2.11</v>
      </c>
      <c r="AR222" s="19" t="n">
        <v>0.91</v>
      </c>
      <c r="AS222" s="19" t="n">
        <v>0</v>
      </c>
      <c r="AT222" s="19" t="n">
        <v>0.05</v>
      </c>
      <c r="AU222" s="19" t="n">
        <v>0.15</v>
      </c>
      <c r="AV222" s="19" t="n">
        <v>1.11</v>
      </c>
      <c r="AW222" s="17" t="n">
        <v>-2.036832725112448</v>
      </c>
      <c r="AX222" t="inlineStr">
        <is>
          <t>41cr</t>
        </is>
      </c>
      <c r="AY222" s="26" t="n">
        <v>2.317173439034646</v>
      </c>
      <c r="AZ222" s="26" t="n">
        <v>1.453221061498769</v>
      </c>
      <c r="BA222" s="26" t="n">
        <v>0.6080785031531003</v>
      </c>
      <c r="BB222" s="28" t="n">
        <v>1</v>
      </c>
      <c r="BC222" t="n">
        <v>0</v>
      </c>
      <c r="BD222" t="n">
        <v>0</v>
      </c>
      <c r="BE222" t="n">
        <v>0</v>
      </c>
      <c r="BF222" t="n">
        <v>1</v>
      </c>
      <c r="BG222" t="n">
        <v>0</v>
      </c>
      <c r="BH222" t="n">
        <v>0</v>
      </c>
    </row>
    <row r="223">
      <c r="A223" s="19" t="inlineStr">
        <is>
          <t>Groww Banking &amp; Financial Services Fund</t>
        </is>
      </c>
      <c r="B223" s="19" t="inlineStr">
        <is>
          <t>sectorial:thematic</t>
        </is>
      </c>
      <c r="C223" s="19" t="inlineStr">
        <is>
          <t>Nifty Financial Services TRI</t>
        </is>
      </c>
      <c r="D223" s="19" t="inlineStr">
        <is>
          <t>Very High</t>
        </is>
      </c>
      <c r="E223" s="19" t="inlineStr">
        <is>
          <t>Very High</t>
        </is>
      </c>
      <c r="F223" s="20" t="n">
        <v>46023</v>
      </c>
      <c r="G223" s="19" t="n">
        <v>11.987</v>
      </c>
      <c r="H223" s="19" t="n">
        <v>12.438</v>
      </c>
      <c r="I223" s="19" t="n">
        <v>10.6278515</v>
      </c>
      <c r="J223" s="19" t="n">
        <v>-7.662368500000001</v>
      </c>
      <c r="K223" s="19" t="n">
        <v>18.29022</v>
      </c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>
        <v>12.103273</v>
      </c>
      <c r="V223" s="19" t="n">
        <v>61.95</v>
      </c>
      <c r="W223" s="19" t="n">
        <v>-1.089464680968873</v>
      </c>
      <c r="X223" s="19" t="n">
        <v>-1.407878327533242</v>
      </c>
      <c r="Y223" s="19" t="n"/>
      <c r="Z223" s="19" t="n"/>
      <c r="AA223" s="19" t="n"/>
      <c r="AB223" s="19" t="n"/>
      <c r="AC223" s="19" t="n"/>
      <c r="AD223" s="19" t="n"/>
      <c r="AE223" s="19" t="n">
        <v>8.502222</v>
      </c>
      <c r="AF223" s="19" t="n"/>
      <c r="AG223" s="19" t="n"/>
      <c r="AH223" s="19" t="n"/>
      <c r="AI223" s="19" t="n">
        <v>18.414053</v>
      </c>
      <c r="AJ223" s="19" t="n">
        <v>18.414053</v>
      </c>
      <c r="AK223" s="19" t="n">
        <v>9.955905</v>
      </c>
      <c r="AL223" s="19" t="inlineStr">
        <is>
          <t>Equity Scheme - Sectoral/ Thematic</t>
        </is>
      </c>
      <c r="AM223" s="19" t="n">
        <v>2.25</v>
      </c>
      <c r="AN223" s="19" t="n">
        <v>0</v>
      </c>
      <c r="AO223" s="19" t="n">
        <v>0.05</v>
      </c>
      <c r="AP223" s="19" t="n">
        <v>0</v>
      </c>
      <c r="AQ223" s="19" t="n">
        <v>2.3</v>
      </c>
      <c r="AR223" s="19" t="n">
        <v>0.31</v>
      </c>
      <c r="AS223" s="19" t="n">
        <v>0</v>
      </c>
      <c r="AT223" s="19" t="n">
        <v>0.05</v>
      </c>
      <c r="AU223" s="19" t="n">
        <v>0</v>
      </c>
      <c r="AV223" s="19" t="n">
        <v>0.36</v>
      </c>
      <c r="AW223" s="17" t="n">
        <v>-0.7263922518159852</v>
      </c>
      <c r="AX223" t="inlineStr">
        <is>
          <t>0cr</t>
        </is>
      </c>
      <c r="AY223" s="26" t="n">
        <v>1.461076513300936</v>
      </c>
      <c r="AZ223" s="26" t="n">
        <v>1.453221061498769</v>
      </c>
      <c r="BA223" s="26" t="n">
        <v>0.5641226071812905</v>
      </c>
      <c r="BB223" s="28" t="n">
        <v>2</v>
      </c>
      <c r="BC223" t="n">
        <v>1</v>
      </c>
      <c r="BD223" t="n">
        <v>0</v>
      </c>
      <c r="BE223" t="n">
        <v>1</v>
      </c>
      <c r="BF223" t="n">
        <v>0</v>
      </c>
      <c r="BG223" t="n">
        <v>0</v>
      </c>
      <c r="BH223" t="n">
        <v>0</v>
      </c>
    </row>
    <row r="224">
      <c r="A224" s="19" t="inlineStr">
        <is>
          <t>HDFC Business Cycle Fund</t>
        </is>
      </c>
      <c r="B224" s="19" t="inlineStr">
        <is>
          <t>sectorial:thematic</t>
        </is>
      </c>
      <c r="C224" s="19" t="inlineStr">
        <is>
          <t>Nifty 500 TRI</t>
        </is>
      </c>
      <c r="D224" s="19" t="inlineStr">
        <is>
          <t>Very High</t>
        </is>
      </c>
      <c r="E224" s="19" t="inlineStr">
        <is>
          <t>Very High</t>
        </is>
      </c>
      <c r="F224" s="20" t="n">
        <v>46023</v>
      </c>
      <c r="G224" s="19" t="n">
        <v>14.749</v>
      </c>
      <c r="H224" s="19" t="n">
        <v>15.332</v>
      </c>
      <c r="I224" s="19" t="n">
        <v>3.0861292</v>
      </c>
      <c r="J224" s="19" t="n">
        <v>-4.332899100000001</v>
      </c>
      <c r="K224" s="19" t="n">
        <v>7.4190283</v>
      </c>
      <c r="L224" s="19" t="n">
        <v>15.611875</v>
      </c>
      <c r="M224" s="19" t="n">
        <v>-1.110353999999999</v>
      </c>
      <c r="N224" s="19" t="n">
        <v>16.722229</v>
      </c>
      <c r="O224" s="19" t="n"/>
      <c r="P224" s="19" t="n"/>
      <c r="Q224" s="19" t="n"/>
      <c r="R224" s="19" t="n"/>
      <c r="S224" s="19" t="n"/>
      <c r="T224" s="19" t="n"/>
      <c r="U224" s="19" t="n">
        <v>14.793129</v>
      </c>
      <c r="V224" s="19" t="n">
        <v>2818.73</v>
      </c>
      <c r="W224" s="19" t="n">
        <v>-1.027371955718842</v>
      </c>
      <c r="X224" s="19" t="n">
        <v>-1.306204824682826</v>
      </c>
      <c r="Y224" s="19" t="n"/>
      <c r="Z224" s="19" t="n"/>
      <c r="AA224" s="19" t="n">
        <v>-0.2711439313311092</v>
      </c>
      <c r="AB224" s="19" t="n">
        <v>-0.5880772452663379</v>
      </c>
      <c r="AC224" s="19" t="n"/>
      <c r="AD224" s="19" t="n"/>
      <c r="AE224" s="19" t="n">
        <v>1.9281272</v>
      </c>
      <c r="AF224" s="19" t="n"/>
      <c r="AG224" s="19" t="n">
        <v>14.181358</v>
      </c>
      <c r="AH224" s="19" t="n"/>
      <c r="AI224" s="19" t="n">
        <v>15.05777</v>
      </c>
      <c r="AJ224" s="19" t="n">
        <v>15.05777</v>
      </c>
      <c r="AK224" s="19" t="n">
        <v>13.365795</v>
      </c>
      <c r="AL224" s="19" t="inlineStr">
        <is>
          <t>Equity Scheme - Sectoral/ Thematic</t>
        </is>
      </c>
      <c r="AM224" s="19" t="n">
        <v>1.83</v>
      </c>
      <c r="AN224" s="19" t="n">
        <v>0</v>
      </c>
      <c r="AO224" s="19" t="n">
        <v>0.05</v>
      </c>
      <c r="AP224" s="19" t="n">
        <v>0.12</v>
      </c>
      <c r="AQ224" s="19" t="n">
        <v>2</v>
      </c>
      <c r="AR224" s="19" t="n">
        <v>0.74</v>
      </c>
      <c r="AS224" s="19" t="n">
        <v>0</v>
      </c>
      <c r="AT224" s="19" t="n">
        <v>0.05</v>
      </c>
      <c r="AU224" s="19" t="n">
        <v>0.12</v>
      </c>
      <c r="AV224" s="19" t="n">
        <v>0.91</v>
      </c>
      <c r="AW224" s="17" t="n">
        <v>3.814483827823168</v>
      </c>
      <c r="AX224" s="18" t="inlineStr">
        <is>
          <t>-108cr</t>
        </is>
      </c>
      <c r="AY224" s="26" t="n">
        <v>1.327233772346554</v>
      </c>
      <c r="AZ224" s="26" t="n">
        <v>1.453221061498769</v>
      </c>
      <c r="BA224" s="26" t="n">
        <v>0.553200846855017</v>
      </c>
      <c r="BB224" s="28" t="n">
        <v>2</v>
      </c>
      <c r="BC224" t="n">
        <v>0</v>
      </c>
      <c r="BD224" t="n">
        <v>1</v>
      </c>
      <c r="BE224" t="n">
        <v>0</v>
      </c>
      <c r="BF224" t="n">
        <v>0</v>
      </c>
      <c r="BG224" t="n">
        <v>0</v>
      </c>
      <c r="BH224" t="n">
        <v>1</v>
      </c>
    </row>
    <row r="225">
      <c r="A225" s="19" t="inlineStr">
        <is>
          <t>HDFC Defence Fund</t>
        </is>
      </c>
      <c r="B225" s="19" t="inlineStr">
        <is>
          <t>sectorial:thematic</t>
        </is>
      </c>
      <c r="C225" s="19" t="inlineStr">
        <is>
          <t>Nifty India Defence TRI</t>
        </is>
      </c>
      <c r="D225" s="19" t="inlineStr">
        <is>
          <t>Very High</t>
        </is>
      </c>
      <c r="E225" s="19" t="inlineStr">
        <is>
          <t>Very High</t>
        </is>
      </c>
      <c r="F225" s="20" t="n">
        <v>46023</v>
      </c>
      <c r="G225" s="19" t="n">
        <v>23.302</v>
      </c>
      <c r="H225" s="19" t="n">
        <v>24.001</v>
      </c>
      <c r="I225" s="19" t="n">
        <v>9.478630000000001</v>
      </c>
      <c r="J225" s="19" t="n">
        <v>-9.316704</v>
      </c>
      <c r="K225" s="19" t="n">
        <v>18.795334</v>
      </c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>
        <v>40.237957</v>
      </c>
      <c r="V225" s="19" t="n">
        <v>7367.2</v>
      </c>
      <c r="W225" s="19" t="n">
        <v>-1.114939389043357</v>
      </c>
      <c r="X225" s="19" t="n">
        <v>-1.237644123173936</v>
      </c>
      <c r="Y225" s="19" t="n"/>
      <c r="Z225" s="19" t="n"/>
      <c r="AA225" s="19" t="n"/>
      <c r="AB225" s="19" t="n"/>
      <c r="AC225" s="19" t="n"/>
      <c r="AD225" s="19" t="n"/>
      <c r="AE225" s="19" t="n">
        <v>8.361235000000001</v>
      </c>
      <c r="AF225" s="19" t="n"/>
      <c r="AG225" s="19" t="n"/>
      <c r="AH225" s="19" t="n"/>
      <c r="AI225" s="19" t="n">
        <v>56.894897</v>
      </c>
      <c r="AJ225" s="19" t="n">
        <v>56.894897</v>
      </c>
      <c r="AK225" s="19" t="n">
        <v>38.649796</v>
      </c>
      <c r="AL225" s="19" t="inlineStr">
        <is>
          <t>Equity Scheme - Sectoral/ Thematic</t>
        </is>
      </c>
      <c r="AM225" s="19" t="n">
        <v>1.64</v>
      </c>
      <c r="AN225" s="19" t="n">
        <v>0</v>
      </c>
      <c r="AO225" s="19" t="n">
        <v>0.05</v>
      </c>
      <c r="AP225" s="19" t="n">
        <v>0.12</v>
      </c>
      <c r="AQ225" s="19" t="n">
        <v>1.81</v>
      </c>
      <c r="AR225" s="19" t="n">
        <v>0.65</v>
      </c>
      <c r="AS225" s="19" t="n">
        <v>0</v>
      </c>
      <c r="AT225" s="19" t="n">
        <v>0.05</v>
      </c>
      <c r="AU225" s="19" t="n">
        <v>0.12</v>
      </c>
      <c r="AV225" s="19" t="n">
        <v>0.82</v>
      </c>
      <c r="AW225" s="17" t="n">
        <v>0.8001683136062523</v>
      </c>
      <c r="AX225" s="18" t="inlineStr">
        <is>
          <t>-59cr</t>
        </is>
      </c>
      <c r="AY225" s="26" t="n">
        <v>3.37322124812341</v>
      </c>
      <c r="AZ225" s="26" t="n">
        <v>1.453221061498769</v>
      </c>
      <c r="BA225" s="26" t="n">
        <v>1.162332847041245</v>
      </c>
      <c r="BB225" s="28" t="n">
        <v>3</v>
      </c>
      <c r="BC225" t="n">
        <v>1</v>
      </c>
      <c r="BD225" t="n">
        <v>1</v>
      </c>
      <c r="BE225" t="n">
        <v>1</v>
      </c>
      <c r="BF225" t="n">
        <v>0</v>
      </c>
      <c r="BG225" t="n">
        <v>0</v>
      </c>
      <c r="BH225" t="n">
        <v>0</v>
      </c>
    </row>
    <row r="226">
      <c r="A226" s="19" t="inlineStr">
        <is>
          <t>HDFC Housing Opportunities Fund</t>
        </is>
      </c>
      <c r="B226" s="19" t="inlineStr">
        <is>
          <t>sectorial:thematic</t>
        </is>
      </c>
      <c r="C226" s="19" t="inlineStr">
        <is>
          <t>Nifty Housing TRI</t>
        </is>
      </c>
      <c r="D226" s="19" t="inlineStr">
        <is>
          <t>Very High</t>
        </is>
      </c>
      <c r="E226" s="19" t="inlineStr">
        <is>
          <t>Very High</t>
        </is>
      </c>
      <c r="F226" s="20" t="n">
        <v>46023</v>
      </c>
      <c r="G226" s="19" t="n">
        <v>22.487</v>
      </c>
      <c r="H226" s="19" t="n">
        <v>24.411</v>
      </c>
      <c r="I226" s="19" t="n">
        <v>1.6235794</v>
      </c>
      <c r="J226" s="19" t="n">
        <v>-6.5026436</v>
      </c>
      <c r="K226" s="19" t="n">
        <v>8.126223</v>
      </c>
      <c r="L226" s="19" t="n">
        <v>17.94477</v>
      </c>
      <c r="M226" s="19" t="n">
        <v>4.305504999999998</v>
      </c>
      <c r="N226" s="19" t="n">
        <v>13.639265</v>
      </c>
      <c r="O226" s="19" t="n">
        <v>19.735924</v>
      </c>
      <c r="P226" s="19" t="n">
        <v>3.114142000000001</v>
      </c>
      <c r="Q226" s="19" t="n">
        <v>16.621782</v>
      </c>
      <c r="R226" s="19" t="n"/>
      <c r="S226" s="19" t="n"/>
      <c r="T226" s="19" t="n"/>
      <c r="U226" s="19" t="n">
        <v>11.6832485</v>
      </c>
      <c r="V226" s="19" t="n">
        <v>1284.98</v>
      </c>
      <c r="W226" s="19" t="n">
        <v>-1.524624104211768</v>
      </c>
      <c r="X226" s="19" t="n">
        <v>-1.759757331889593</v>
      </c>
      <c r="Y226" s="19" t="n"/>
      <c r="Z226" s="19" t="n"/>
      <c r="AA226" s="19" t="n">
        <v>0.7010479651374006</v>
      </c>
      <c r="AB226" s="19" t="n">
        <v>0.515763566137071</v>
      </c>
      <c r="AC226" s="19" t="n">
        <v>0.4675065139538553</v>
      </c>
      <c r="AD226" s="19" t="n">
        <v>0.2914061860464089</v>
      </c>
      <c r="AE226" s="19" t="n">
        <v>0.63098544</v>
      </c>
      <c r="AF226" s="19" t="n"/>
      <c r="AG226" s="19" t="n">
        <v>16.793024</v>
      </c>
      <c r="AH226" s="19" t="n">
        <v>18.55715</v>
      </c>
      <c r="AI226" s="19" t="n">
        <v>13.641823</v>
      </c>
      <c r="AJ226" s="19" t="n">
        <v>13.641823</v>
      </c>
      <c r="AK226" s="19" t="n">
        <v>10.553783</v>
      </c>
      <c r="AL226" s="19" t="inlineStr">
        <is>
          <t>Equity Scheme - Sectoral/ Thematic</t>
        </is>
      </c>
      <c r="AM226" s="19" t="n">
        <v>2</v>
      </c>
      <c r="AN226" s="19" t="n">
        <v>0</v>
      </c>
      <c r="AO226" s="19" t="n">
        <v>0.05</v>
      </c>
      <c r="AP226" s="19" t="n">
        <v>0.18</v>
      </c>
      <c r="AQ226" s="19" t="n">
        <v>2.23</v>
      </c>
      <c r="AR226" s="19" t="n">
        <v>0.96</v>
      </c>
      <c r="AS226" s="19" t="n">
        <v>0</v>
      </c>
      <c r="AT226" s="19" t="n">
        <v>0.05</v>
      </c>
      <c r="AU226" s="19" t="n">
        <v>0.18</v>
      </c>
      <c r="AV226" s="19" t="n">
        <v>1.19</v>
      </c>
      <c r="AW226" s="17" t="n">
        <v>0.1906644461392431</v>
      </c>
      <c r="AX226" s="18" t="inlineStr">
        <is>
          <t>-2cr</t>
        </is>
      </c>
      <c r="AY226" s="26" t="n">
        <v>1.420667656226683</v>
      </c>
      <c r="AZ226" s="26" t="n">
        <v>1.453221061498769</v>
      </c>
      <c r="BA226" s="26" t="n">
        <v>0.5391664062620072</v>
      </c>
      <c r="BB226" s="28" t="n">
        <v>2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1</v>
      </c>
    </row>
    <row r="227">
      <c r="A227" s="19" t="inlineStr">
        <is>
          <t>HDFC Infrastructure Fund</t>
        </is>
      </c>
      <c r="B227" s="19" t="inlineStr">
        <is>
          <t>sectorial:thematic</t>
        </is>
      </c>
      <c r="C227" s="19" t="inlineStr">
        <is>
          <t>BSE India Infrastructure TRI</t>
        </is>
      </c>
      <c r="D227" s="19" t="inlineStr">
        <is>
          <t>Very High</t>
        </is>
      </c>
      <c r="E227" s="19" t="inlineStr">
        <is>
          <t>Very High</t>
        </is>
      </c>
      <c r="F227" s="20" t="n">
        <v>46023</v>
      </c>
      <c r="G227" s="19" t="n">
        <v>47.682</v>
      </c>
      <c r="H227" s="19" t="n">
        <v>52.928</v>
      </c>
      <c r="I227" s="19" t="n">
        <v>2.9106958</v>
      </c>
      <c r="J227" s="19" t="n">
        <v>4.8025472</v>
      </c>
      <c r="K227" s="19" t="n">
        <v>-1.8918514</v>
      </c>
      <c r="L227" s="19" t="n">
        <v>26.208162</v>
      </c>
      <c r="M227" s="19" t="n">
        <v>-1.088927999999999</v>
      </c>
      <c r="N227" s="19" t="n">
        <v>27.29709</v>
      </c>
      <c r="O227" s="19" t="n">
        <v>28.353045</v>
      </c>
      <c r="P227" s="19" t="n">
        <v>-0.5497569999999996</v>
      </c>
      <c r="Q227" s="19" t="n">
        <v>28.902802</v>
      </c>
      <c r="R227" s="19" t="n">
        <v>12.271456</v>
      </c>
      <c r="S227" s="19" t="n">
        <v>-3.801663999999999</v>
      </c>
      <c r="T227" s="19" t="n">
        <v>16.07312</v>
      </c>
      <c r="U227" s="19" t="n">
        <v>12.717856</v>
      </c>
      <c r="V227" s="19" t="n">
        <v>2460.61</v>
      </c>
      <c r="W227" s="19" t="n">
        <v>0.4661414790767516</v>
      </c>
      <c r="X227" s="19" t="n">
        <v>0.3473667224849012</v>
      </c>
      <c r="Y227" s="19" t="n">
        <v>-0.3455919582507591</v>
      </c>
      <c r="Z227" s="19" t="n">
        <v>-0.4223042866423043</v>
      </c>
      <c r="AA227" s="19" t="n">
        <v>-0.2082154082868222</v>
      </c>
      <c r="AB227" s="19" t="n">
        <v>-0.29061222303782</v>
      </c>
      <c r="AC227" s="19" t="n">
        <v>-0.1349093749865124</v>
      </c>
      <c r="AD227" s="19" t="n">
        <v>-0.2123854254121237</v>
      </c>
      <c r="AE227" s="19" t="n">
        <v>1.9259956</v>
      </c>
      <c r="AF227" s="19" t="n">
        <v>11.381563</v>
      </c>
      <c r="AG227" s="19" t="n">
        <v>25.10667</v>
      </c>
      <c r="AH227" s="19" t="n">
        <v>27.318972</v>
      </c>
      <c r="AI227" s="19" t="n"/>
      <c r="AJ227" s="19" t="n">
        <v>15.12513</v>
      </c>
      <c r="AK227" s="19" t="n">
        <v>9.1583805</v>
      </c>
      <c r="AL227" s="19" t="inlineStr">
        <is>
          <t>Equity Scheme - Sectoral/ Thematic</t>
        </is>
      </c>
      <c r="AM227" s="19" t="n">
        <v>1.86</v>
      </c>
      <c r="AN227" s="19" t="n">
        <v>0</v>
      </c>
      <c r="AO227" s="19" t="n">
        <v>0.05</v>
      </c>
      <c r="AP227" s="19" t="n">
        <v>0.17</v>
      </c>
      <c r="AQ227" s="19" t="n">
        <v>2.08</v>
      </c>
      <c r="AR227" s="19" t="n">
        <v>0.9399999999999999</v>
      </c>
      <c r="AS227" s="19" t="n">
        <v>0</v>
      </c>
      <c r="AT227" s="19" t="n">
        <v>0.05</v>
      </c>
      <c r="AU227" s="19" t="n">
        <v>0.17</v>
      </c>
      <c r="AV227" s="19" t="n">
        <v>1.16</v>
      </c>
      <c r="AW227" s="17" t="n">
        <v>1.951955003027694</v>
      </c>
      <c r="AX227" s="18" t="inlineStr">
        <is>
          <t>-48cr</t>
        </is>
      </c>
      <c r="AY227" s="26" t="n">
        <v>1.407881699520376</v>
      </c>
      <c r="AZ227" s="26" t="n">
        <v>1.453221061498769</v>
      </c>
      <c r="BA227" s="26" t="n">
        <v>0.5195451713834941</v>
      </c>
      <c r="BB227" s="28" t="n">
        <v>3</v>
      </c>
      <c r="BC227" t="n">
        <v>0</v>
      </c>
      <c r="BD227" t="n">
        <v>1</v>
      </c>
      <c r="BE227" t="n">
        <v>0</v>
      </c>
      <c r="BF227" t="n">
        <v>1</v>
      </c>
      <c r="BG227" t="n">
        <v>0</v>
      </c>
      <c r="BH227" t="n">
        <v>1</v>
      </c>
    </row>
    <row r="228">
      <c r="A228" s="19" t="inlineStr">
        <is>
          <t>HDFC Innovation Fund</t>
        </is>
      </c>
      <c r="B228" s="19" t="inlineStr">
        <is>
          <t>sectorial:thematic</t>
        </is>
      </c>
      <c r="C228" s="19" t="inlineStr">
        <is>
          <t>Nifty 500 TRI</t>
        </is>
      </c>
      <c r="D228" s="19" t="inlineStr">
        <is>
          <t>Very High</t>
        </is>
      </c>
      <c r="E228" s="19" t="inlineStr">
        <is>
          <t>Very High</t>
        </is>
      </c>
      <c r="F228" s="20" t="n">
        <v>46023</v>
      </c>
      <c r="G228" s="19" t="n">
        <v>10.219</v>
      </c>
      <c r="H228" s="19" t="n">
        <v>10.279</v>
      </c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>
        <v>2708.31</v>
      </c>
      <c r="W228" s="19" t="n"/>
      <c r="X228" s="19" t="n"/>
      <c r="Y228" s="19" t="n"/>
      <c r="Z228" s="19" t="n"/>
      <c r="AA228" s="19" t="n"/>
      <c r="AB228" s="19" t="n"/>
      <c r="AC228" s="19" t="n"/>
      <c r="AD228" s="19" t="n"/>
      <c r="AE228" s="19" t="n"/>
      <c r="AF228" s="19" t="n"/>
      <c r="AG228" s="19" t="n"/>
      <c r="AH228" s="19" t="n"/>
      <c r="AI228" s="19" t="n"/>
      <c r="AJ228" s="19" t="n"/>
      <c r="AK228" s="19" t="n"/>
      <c r="AL228" s="19" t="inlineStr">
        <is>
          <t>Equity Scheme - Sectoral/ Thematic</t>
        </is>
      </c>
      <c r="AM228" s="19" t="n">
        <v>1.84</v>
      </c>
      <c r="AN228" s="19" t="n">
        <v>0</v>
      </c>
      <c r="AO228" s="19" t="n">
        <v>0.05</v>
      </c>
      <c r="AP228" s="19" t="n">
        <v>0.09</v>
      </c>
      <c r="AQ228" s="19" t="n">
        <v>1.98</v>
      </c>
      <c r="AR228" s="19" t="n">
        <v>0.62</v>
      </c>
      <c r="AS228" s="19" t="n">
        <v>0</v>
      </c>
      <c r="AT228" s="19" t="n">
        <v>0.05</v>
      </c>
      <c r="AU228" s="19" t="n">
        <v>0.09</v>
      </c>
      <c r="AV228" s="19" t="n">
        <v>0.76</v>
      </c>
      <c r="AW228" s="17" t="n">
        <v>2.348697158006289</v>
      </c>
      <c r="AX228" s="18" t="inlineStr">
        <is>
          <t>-64cr</t>
        </is>
      </c>
      <c r="AY228" s="26" t="n">
        <v>1.112268220659621</v>
      </c>
      <c r="AZ228" s="26" t="n">
        <v>1.453221061498769</v>
      </c>
      <c r="BA228" s="26" t="n">
        <v>0.6400330301692684</v>
      </c>
      <c r="BB228" s="28" t="n">
        <v>3</v>
      </c>
      <c r="BC228" t="n">
        <v>0</v>
      </c>
      <c r="BD228" t="n">
        <v>1</v>
      </c>
      <c r="BE228" t="n">
        <v>1</v>
      </c>
      <c r="BF228" t="n">
        <v>0</v>
      </c>
      <c r="BG228" t="n">
        <v>0</v>
      </c>
      <c r="BH228" t="n">
        <v>1</v>
      </c>
    </row>
    <row r="229">
      <c r="A229" s="19" t="inlineStr">
        <is>
          <t>HDFC Manufacturing Fund</t>
        </is>
      </c>
      <c r="B229" s="19" t="inlineStr">
        <is>
          <t>sectorial:thematic</t>
        </is>
      </c>
      <c r="C229" s="19" t="inlineStr">
        <is>
          <t>Nifty India Manufacturing TRI</t>
        </is>
      </c>
      <c r="D229" s="19" t="inlineStr">
        <is>
          <t>Very High</t>
        </is>
      </c>
      <c r="E229" s="19" t="inlineStr">
        <is>
          <t>Very High</t>
        </is>
      </c>
      <c r="F229" s="20" t="n">
        <v>46023</v>
      </c>
      <c r="G229" s="19" t="n">
        <v>11.131</v>
      </c>
      <c r="H229" s="19" t="n">
        <v>11.34</v>
      </c>
      <c r="I229" s="19" t="n">
        <v>7.8049245</v>
      </c>
      <c r="J229" s="19" t="n">
        <v>-4.2460475</v>
      </c>
      <c r="K229" s="19" t="n">
        <v>12.050972</v>
      </c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>
        <v>7.2969933</v>
      </c>
      <c r="V229" s="19" t="n">
        <v>11035.62</v>
      </c>
      <c r="W229" s="19" t="n">
        <v>-1.28335436231584</v>
      </c>
      <c r="X229" s="19" t="n">
        <v>-1.611758320562687</v>
      </c>
      <c r="Y229" s="19" t="n"/>
      <c r="Z229" s="19" t="n"/>
      <c r="AA229" s="19" t="n"/>
      <c r="AB229" s="19" t="n"/>
      <c r="AC229" s="19" t="n"/>
      <c r="AD229" s="19" t="n"/>
      <c r="AE229" s="19" t="n">
        <v>6.680084</v>
      </c>
      <c r="AF229" s="19" t="n"/>
      <c r="AG229" s="19" t="n"/>
      <c r="AH229" s="19" t="n"/>
      <c r="AI229" s="19" t="n">
        <v>10.037126</v>
      </c>
      <c r="AJ229" s="19" t="n">
        <v>10.037126</v>
      </c>
      <c r="AK229" s="19" t="n">
        <v>6.0795345</v>
      </c>
      <c r="AL229" s="19" t="inlineStr">
        <is>
          <t>Equity Scheme - Sectoral/ Thematic</t>
        </is>
      </c>
      <c r="AM229" s="19" t="n">
        <v>1.61</v>
      </c>
      <c r="AN229" s="19" t="n">
        <v>0</v>
      </c>
      <c r="AO229" s="19" t="n">
        <v>0.05</v>
      </c>
      <c r="AP229" s="19" t="n">
        <v>0.12</v>
      </c>
      <c r="AQ229" s="19" t="n">
        <v>1.78</v>
      </c>
      <c r="AR229" s="19" t="n">
        <v>0.66</v>
      </c>
      <c r="AS229" s="19" t="n">
        <v>0</v>
      </c>
      <c r="AT229" s="19" t="n">
        <v>0.05</v>
      </c>
      <c r="AU229" s="19" t="n">
        <v>0.12</v>
      </c>
      <c r="AV229" s="19" t="n">
        <v>0.83</v>
      </c>
      <c r="AW229" s="17" t="n">
        <v>3.003999775273146</v>
      </c>
      <c r="AX229" s="18" t="inlineStr">
        <is>
          <t>-332cr</t>
        </is>
      </c>
      <c r="AY229" s="26" t="n">
        <v>1.099300331528047</v>
      </c>
      <c r="AZ229" s="26" t="n">
        <v>1.453221061498769</v>
      </c>
      <c r="BA229" s="26" t="n">
        <v>0.5826606616825092</v>
      </c>
      <c r="BB229" s="28" t="n">
        <v>4</v>
      </c>
      <c r="BC229" t="n">
        <v>1</v>
      </c>
      <c r="BD229" t="n">
        <v>1</v>
      </c>
      <c r="BE229" t="n">
        <v>1</v>
      </c>
      <c r="BF229" t="n">
        <v>0</v>
      </c>
      <c r="BG229" t="n">
        <v>0</v>
      </c>
      <c r="BH229" t="n">
        <v>1</v>
      </c>
    </row>
    <row r="230">
      <c r="A230" s="19" t="inlineStr">
        <is>
          <t>HDFC MNC Fund</t>
        </is>
      </c>
      <c r="B230" s="19" t="inlineStr">
        <is>
          <t>sectorial:thematic</t>
        </is>
      </c>
      <c r="C230" s="19" t="inlineStr">
        <is>
          <t>Nifty MNC TRI</t>
        </is>
      </c>
      <c r="D230" s="19" t="inlineStr">
        <is>
          <t>Very High</t>
        </is>
      </c>
      <c r="E230" s="19" t="inlineStr">
        <is>
          <t>Very High</t>
        </is>
      </c>
      <c r="F230" s="20" t="n">
        <v>46023</v>
      </c>
      <c r="G230" s="19" t="n">
        <v>13.57</v>
      </c>
      <c r="H230" s="19" t="n">
        <v>14.033</v>
      </c>
      <c r="I230" s="19" t="n">
        <v>0.37193334</v>
      </c>
      <c r="J230" s="19" t="n">
        <v>-9.93453066</v>
      </c>
      <c r="K230" s="19" t="n">
        <v>10.306464</v>
      </c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>
        <v>12.722731</v>
      </c>
      <c r="V230" s="19" t="n">
        <v>574.49</v>
      </c>
      <c r="W230" s="19" t="n">
        <v>-1.990208695442519</v>
      </c>
      <c r="X230" s="19" t="n">
        <v>-2.241029151200944</v>
      </c>
      <c r="Y230" s="19" t="n"/>
      <c r="Z230" s="19" t="n"/>
      <c r="AA230" s="19" t="n"/>
      <c r="AB230" s="19" t="n"/>
      <c r="AC230" s="19" t="n"/>
      <c r="AD230" s="19" t="n"/>
      <c r="AE230" s="19" t="n">
        <v>-0.8113442</v>
      </c>
      <c r="AF230" s="19" t="n"/>
      <c r="AG230" s="19" t="n"/>
      <c r="AH230" s="19" t="n"/>
      <c r="AI230" s="19" t="n">
        <v>19.313028</v>
      </c>
      <c r="AJ230" s="19" t="n">
        <v>19.313028</v>
      </c>
      <c r="AK230" s="19" t="n">
        <v>11.389201</v>
      </c>
      <c r="AL230" s="19" t="inlineStr">
        <is>
          <t>Equity Scheme - Sectoral/ Thematic</t>
        </is>
      </c>
      <c r="AM230" s="19" t="n">
        <v>2.23</v>
      </c>
      <c r="AN230" s="19" t="n">
        <v>0</v>
      </c>
      <c r="AO230" s="19" t="n">
        <v>0.05</v>
      </c>
      <c r="AP230" s="19" t="n">
        <v>0.17</v>
      </c>
      <c r="AQ230" s="19" t="n">
        <v>2.45</v>
      </c>
      <c r="AR230" s="19" t="n">
        <v>1.04</v>
      </c>
      <c r="AS230" s="19" t="n">
        <v>0</v>
      </c>
      <c r="AT230" s="19" t="n">
        <v>0.05</v>
      </c>
      <c r="AU230" s="19" t="n">
        <v>0.17</v>
      </c>
      <c r="AV230" s="19" t="n">
        <v>1.26</v>
      </c>
      <c r="AW230" s="17" t="n">
        <v>0.8372643562115869</v>
      </c>
      <c r="AX230" s="18" t="inlineStr">
        <is>
          <t>-5cr</t>
        </is>
      </c>
      <c r="AY230" s="26" t="n">
        <v>1.062289118513288</v>
      </c>
      <c r="AZ230" s="26" t="n">
        <v>1.453221061498769</v>
      </c>
      <c r="BA230" s="26" t="n">
        <v>0.5340771298415018</v>
      </c>
      <c r="BB230" s="28" t="n">
        <v>2</v>
      </c>
      <c r="BC230" t="n">
        <v>0</v>
      </c>
      <c r="BD230" t="n">
        <v>1</v>
      </c>
      <c r="BE230" t="n">
        <v>0</v>
      </c>
      <c r="BF230" t="n">
        <v>0</v>
      </c>
      <c r="BG230" t="n">
        <v>0</v>
      </c>
      <c r="BH230" t="n">
        <v>1</v>
      </c>
    </row>
    <row r="231">
      <c r="A231" s="19" t="inlineStr">
        <is>
          <t>HDFC Non-Cyclical Consumer Fund</t>
        </is>
      </c>
      <c r="B231" s="19" t="inlineStr">
        <is>
          <t>sectorial:thematic</t>
        </is>
      </c>
      <c r="C231" s="19" t="inlineStr">
        <is>
          <t>Nifty India Consumption TRI</t>
        </is>
      </c>
      <c r="D231" s="19" t="inlineStr">
        <is>
          <t>Very High</t>
        </is>
      </c>
      <c r="E231" s="19" t="inlineStr">
        <is>
          <t>Very High</t>
        </is>
      </c>
      <c r="F231" s="20" t="n">
        <v>46023</v>
      </c>
      <c r="G231" s="19" t="n">
        <v>14.174</v>
      </c>
      <c r="H231" s="19" t="n">
        <v>14.608</v>
      </c>
      <c r="I231" s="19" t="n">
        <v>0.116510175</v>
      </c>
      <c r="J231" s="19" t="n">
        <v>-7.993202824999999</v>
      </c>
      <c r="K231" s="19" t="n">
        <v>8.109712999999999</v>
      </c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>
        <v>16.515905</v>
      </c>
      <c r="V231" s="19" t="n">
        <v>1062.13</v>
      </c>
      <c r="W231" s="19" t="n">
        <v>-1.4703302435507</v>
      </c>
      <c r="X231" s="19" t="n">
        <v>-1.697019441182105</v>
      </c>
      <c r="Y231" s="19" t="n"/>
      <c r="Z231" s="19" t="n"/>
      <c r="AA231" s="19" t="n"/>
      <c r="AB231" s="19" t="n"/>
      <c r="AC231" s="19" t="n"/>
      <c r="AD231" s="19" t="n"/>
      <c r="AE231" s="19" t="n">
        <v>-1.061008</v>
      </c>
      <c r="AF231" s="19" t="n"/>
      <c r="AG231" s="19" t="n"/>
      <c r="AH231" s="19" t="n"/>
      <c r="AI231" s="19" t="n">
        <v>17.293226</v>
      </c>
      <c r="AJ231" s="19" t="n">
        <v>17.293226</v>
      </c>
      <c r="AK231" s="19" t="n">
        <v>15.105643</v>
      </c>
      <c r="AL231" s="19" t="inlineStr">
        <is>
          <t>Equity Scheme - Sectoral/ Thematic</t>
        </is>
      </c>
      <c r="AM231" s="19" t="n">
        <v>2.06</v>
      </c>
      <c r="AN231" s="19" t="n">
        <v>0</v>
      </c>
      <c r="AO231" s="19" t="n">
        <v>0.05</v>
      </c>
      <c r="AP231" s="19" t="n">
        <v>0.15</v>
      </c>
      <c r="AQ231" s="19" t="n">
        <v>2.26</v>
      </c>
      <c r="AR231" s="19" t="n">
        <v>0.86</v>
      </c>
      <c r="AS231" s="19" t="n">
        <v>0</v>
      </c>
      <c r="AT231" s="19" t="n">
        <v>0.05</v>
      </c>
      <c r="AU231" s="19" t="n">
        <v>0.15</v>
      </c>
      <c r="AV231" s="19" t="n">
        <v>1.06</v>
      </c>
      <c r="AW231" s="17" t="n">
        <v>1.873593627898643</v>
      </c>
      <c r="AX231" s="18" t="inlineStr">
        <is>
          <t>-20cr</t>
        </is>
      </c>
      <c r="AY231" s="26" t="n">
        <v>1.470374985549043</v>
      </c>
      <c r="AZ231" s="26" t="n">
        <v>1.453221061498769</v>
      </c>
      <c r="BA231" s="26" t="n">
        <v>0.5544877269215019</v>
      </c>
      <c r="BB231" s="28" t="n">
        <v>1</v>
      </c>
      <c r="BC231" t="n">
        <v>0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</row>
    <row r="232">
      <c r="A232" s="19" t="inlineStr">
        <is>
          <t>HDFC Pharma and Healthcare Fund</t>
        </is>
      </c>
      <c r="B232" s="19" t="inlineStr">
        <is>
          <t>sectorial:thematic</t>
        </is>
      </c>
      <c r="C232" s="19" t="inlineStr">
        <is>
          <t>BSE Healthcare TRI</t>
        </is>
      </c>
      <c r="D232" s="19" t="inlineStr">
        <is>
          <t>Very High</t>
        </is>
      </c>
      <c r="E232" s="19" t="inlineStr">
        <is>
          <t>Very High</t>
        </is>
      </c>
      <c r="F232" s="20" t="n">
        <v>46023</v>
      </c>
      <c r="G232" s="19" t="n">
        <v>17.18</v>
      </c>
      <c r="H232" s="19" t="n">
        <v>17.653</v>
      </c>
      <c r="I232" s="19" t="n">
        <v>1.7346704</v>
      </c>
      <c r="J232" s="19" t="n">
        <v>5.0124654</v>
      </c>
      <c r="K232" s="19" t="n">
        <v>-3.277795</v>
      </c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>
        <v>28.985867</v>
      </c>
      <c r="V232" s="19" t="n">
        <v>1963.14</v>
      </c>
      <c r="W232" s="19" t="n">
        <v>1.155136255721694</v>
      </c>
      <c r="X232" s="19" t="n">
        <v>0.8915710448305308</v>
      </c>
      <c r="Y232" s="19" t="n"/>
      <c r="Z232" s="19" t="n"/>
      <c r="AA232" s="19" t="n"/>
      <c r="AB232" s="19" t="n"/>
      <c r="AC232" s="19" t="n"/>
      <c r="AD232" s="19" t="n"/>
      <c r="AE232" s="19" t="n">
        <v>0.54427344</v>
      </c>
      <c r="AF232" s="19" t="n"/>
      <c r="AG232" s="19" t="n"/>
      <c r="AH232" s="19" t="n"/>
      <c r="AI232" s="19" t="n">
        <v>22.54813</v>
      </c>
      <c r="AJ232" s="19" t="n">
        <v>22.54813</v>
      </c>
      <c r="AK232" s="19" t="n">
        <v>27.435888</v>
      </c>
      <c r="AL232" s="19" t="inlineStr">
        <is>
          <t>Equity Scheme - Sectoral/ Thematic</t>
        </is>
      </c>
      <c r="AM232" s="19" t="n">
        <v>1.92</v>
      </c>
      <c r="AN232" s="19" t="n">
        <v>0</v>
      </c>
      <c r="AO232" s="19" t="n">
        <v>0.05</v>
      </c>
      <c r="AP232" s="19" t="n">
        <v>0.14</v>
      </c>
      <c r="AQ232" s="19" t="n">
        <v>2.11</v>
      </c>
      <c r="AR232" s="19" t="n">
        <v>0.76</v>
      </c>
      <c r="AS232" s="19" t="n">
        <v>0</v>
      </c>
      <c r="AT232" s="19" t="n">
        <v>0.05</v>
      </c>
      <c r="AU232" s="19" t="n">
        <v>0.14</v>
      </c>
      <c r="AV232" s="19" t="n">
        <v>0.95</v>
      </c>
      <c r="AW232" s="17" t="n">
        <v>2.140957853235122</v>
      </c>
      <c r="AX232" s="18" t="inlineStr">
        <is>
          <t>-42cr</t>
        </is>
      </c>
      <c r="AY232" s="26" t="n">
        <v>1.047506235388153</v>
      </c>
      <c r="AZ232" s="26" t="n">
        <v>1.453221061498769</v>
      </c>
      <c r="BA232" s="26" t="n">
        <v>0.5907351817180365</v>
      </c>
      <c r="BB232" s="28" t="n">
        <v>4</v>
      </c>
      <c r="BC232" t="n">
        <v>0</v>
      </c>
      <c r="BD232" t="n">
        <v>1</v>
      </c>
      <c r="BE232" t="n">
        <v>0</v>
      </c>
      <c r="BF232" t="n">
        <v>1</v>
      </c>
      <c r="BG232" t="n">
        <v>1</v>
      </c>
      <c r="BH232" t="n">
        <v>1</v>
      </c>
    </row>
    <row r="233">
      <c r="A233" s="19" t="inlineStr">
        <is>
          <t>HDFC Technology Fund</t>
        </is>
      </c>
      <c r="B233" s="19" t="inlineStr">
        <is>
          <t>sectorial:thematic</t>
        </is>
      </c>
      <c r="C233" s="19" t="inlineStr">
        <is>
          <t>BSE Teck TRI</t>
        </is>
      </c>
      <c r="D233" s="19" t="inlineStr">
        <is>
          <t>Very High</t>
        </is>
      </c>
      <c r="E233" s="19" t="inlineStr">
        <is>
          <t>Very High</t>
        </is>
      </c>
      <c r="F233" s="20" t="n">
        <v>46023</v>
      </c>
      <c r="G233" s="19" t="n">
        <v>13.891</v>
      </c>
      <c r="H233" s="19" t="n">
        <v>14.285</v>
      </c>
      <c r="I233" s="19" t="n">
        <v>-3.979297</v>
      </c>
      <c r="J233" s="19" t="n">
        <v>-1.328991</v>
      </c>
      <c r="K233" s="19" t="n">
        <v>-2.650306</v>
      </c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>
        <v>16.597902</v>
      </c>
      <c r="V233" s="19" t="n">
        <v>1631.53</v>
      </c>
      <c r="W233" s="19" t="n">
        <v>-0.2844746744751105</v>
      </c>
      <c r="X233" s="19" t="n">
        <v>-0.5147681676702517</v>
      </c>
      <c r="Y233" s="19" t="n"/>
      <c r="Z233" s="19" t="n"/>
      <c r="AA233" s="19" t="n"/>
      <c r="AB233" s="19" t="n"/>
      <c r="AC233" s="19" t="n"/>
      <c r="AD233" s="19" t="n"/>
      <c r="AE233" s="19" t="n">
        <v>-5.103156</v>
      </c>
      <c r="AF233" s="19" t="n"/>
      <c r="AG233" s="19" t="n"/>
      <c r="AH233" s="19" t="n"/>
      <c r="AI233" s="19" t="n">
        <v>13.304781</v>
      </c>
      <c r="AJ233" s="19" t="n">
        <v>13.304781</v>
      </c>
      <c r="AK233" s="19" t="n">
        <v>15.199376</v>
      </c>
      <c r="AL233" s="19" t="inlineStr">
        <is>
          <t>Equity Scheme - Sectoral/ Thematic</t>
        </is>
      </c>
      <c r="AM233" s="19" t="n">
        <v>1.95</v>
      </c>
      <c r="AN233" s="19" t="n">
        <v>0</v>
      </c>
      <c r="AO233" s="19" t="n">
        <v>0.05</v>
      </c>
      <c r="AP233" s="19" t="n">
        <v>0.14</v>
      </c>
      <c r="AQ233" s="19" t="n">
        <v>2.14</v>
      </c>
      <c r="AR233" s="19" t="n">
        <v>0.75</v>
      </c>
      <c r="AS233" s="19" t="n">
        <v>0</v>
      </c>
      <c r="AT233" s="19" t="n">
        <v>0.05</v>
      </c>
      <c r="AU233" s="19" t="n">
        <v>0.14</v>
      </c>
      <c r="AV233" s="19" t="n">
        <v>0.9399999999999999</v>
      </c>
      <c r="AW233" s="17" t="n">
        <v>-1.396848357063613</v>
      </c>
      <c r="AX233" t="inlineStr">
        <is>
          <t>23cr</t>
        </is>
      </c>
      <c r="AY233" s="26" t="n">
        <v>2.754208568807532</v>
      </c>
      <c r="AZ233" s="26" t="n">
        <v>1.453221061498769</v>
      </c>
      <c r="BA233" s="26" t="n">
        <v>0.7736170121823962</v>
      </c>
      <c r="BB233" s="28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</row>
    <row r="234">
      <c r="A234" s="19" t="inlineStr">
        <is>
          <t>HDFC Transportation and Logistics Fund</t>
        </is>
      </c>
      <c r="B234" s="19" t="inlineStr">
        <is>
          <t>sectorial:thematic</t>
        </is>
      </c>
      <c r="C234" s="19" t="inlineStr">
        <is>
          <t>Nifty Transportation &amp; Logistics TRI</t>
        </is>
      </c>
      <c r="D234" s="19" t="inlineStr">
        <is>
          <t>Very High</t>
        </is>
      </c>
      <c r="E234" s="19" t="inlineStr">
        <is>
          <t>Very High</t>
        </is>
      </c>
      <c r="F234" s="20" t="n">
        <v>46023</v>
      </c>
      <c r="G234" s="19" t="n">
        <v>18.168</v>
      </c>
      <c r="H234" s="19" t="n">
        <v>18.693</v>
      </c>
      <c r="I234" s="19" t="n">
        <v>21.722992</v>
      </c>
      <c r="J234" s="19" t="n">
        <v>4.544218000000001</v>
      </c>
      <c r="K234" s="19" t="n">
        <v>17.178774</v>
      </c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>
        <v>30.073288</v>
      </c>
      <c r="V234" s="19" t="n">
        <v>1774.5</v>
      </c>
      <c r="W234" s="19" t="n">
        <v>0.5382021159022624</v>
      </c>
      <c r="X234" s="19" t="n">
        <v>0.3601150562733029</v>
      </c>
      <c r="Y234" s="19" t="n"/>
      <c r="Z234" s="19" t="n"/>
      <c r="AA234" s="19" t="n"/>
      <c r="AB234" s="19" t="n"/>
      <c r="AC234" s="19" t="n"/>
      <c r="AD234" s="19" t="n"/>
      <c r="AE234" s="19" t="n">
        <v>20.301947</v>
      </c>
      <c r="AF234" s="19" t="n"/>
      <c r="AG234" s="19" t="n"/>
      <c r="AH234" s="19" t="n"/>
      <c r="AI234" s="19" t="n">
        <v>28.000051</v>
      </c>
      <c r="AJ234" s="19" t="n">
        <v>28.000051</v>
      </c>
      <c r="AK234" s="19" t="n">
        <v>28.529825</v>
      </c>
      <c r="AL234" s="19" t="inlineStr">
        <is>
          <t>Equity Scheme - Sectoral/ Thematic</t>
        </is>
      </c>
      <c r="AM234" s="19" t="n">
        <v>1.93</v>
      </c>
      <c r="AN234" s="19" t="n">
        <v>0</v>
      </c>
      <c r="AO234" s="19" t="n">
        <v>0.05</v>
      </c>
      <c r="AP234" s="19" t="n">
        <v>0.14</v>
      </c>
      <c r="AQ234" s="19" t="n">
        <v>2.12</v>
      </c>
      <c r="AR234" s="19" t="n">
        <v>0.78</v>
      </c>
      <c r="AS234" s="19" t="n">
        <v>0</v>
      </c>
      <c r="AT234" s="19" t="n">
        <v>0.05</v>
      </c>
      <c r="AU234" s="19" t="n">
        <v>0.14</v>
      </c>
      <c r="AV234" s="19" t="n">
        <v>0.97</v>
      </c>
      <c r="AW234" s="17" t="n">
        <v>-0.925894618202314</v>
      </c>
      <c r="AX234" t="inlineStr">
        <is>
          <t>16cr</t>
        </is>
      </c>
      <c r="AY234" s="26" t="n">
        <v>0.7974842486878799</v>
      </c>
      <c r="AZ234" s="26" t="n">
        <v>1.453221061498769</v>
      </c>
      <c r="BA234" s="26" t="n">
        <v>0.5481724341645794</v>
      </c>
      <c r="BB234" s="28" t="n">
        <v>3</v>
      </c>
      <c r="BC234" t="n">
        <v>1</v>
      </c>
      <c r="BD234" t="n">
        <v>0</v>
      </c>
      <c r="BE234" t="n">
        <v>0</v>
      </c>
      <c r="BF234" t="n">
        <v>1</v>
      </c>
      <c r="BG234" t="n">
        <v>0</v>
      </c>
      <c r="BH234" t="n">
        <v>1</v>
      </c>
    </row>
    <row r="235">
      <c r="A235" s="19" t="inlineStr">
        <is>
          <t>Helios Financial Services Fund</t>
        </is>
      </c>
      <c r="B235" s="19" t="inlineStr">
        <is>
          <t>sectorial:thematic</t>
        </is>
      </c>
      <c r="C235" s="19" t="inlineStr">
        <is>
          <t>Nifty Financial Services TRI</t>
        </is>
      </c>
      <c r="D235" s="19" t="inlineStr">
        <is>
          <t>Very High</t>
        </is>
      </c>
      <c r="E235" s="19" t="inlineStr">
        <is>
          <t>Very High</t>
        </is>
      </c>
      <c r="F235" s="20" t="n">
        <v>46023</v>
      </c>
      <c r="G235" s="19" t="n">
        <v>11.95</v>
      </c>
      <c r="H235" s="19" t="n">
        <v>12.24</v>
      </c>
      <c r="I235" s="19" t="n">
        <v>12.190651</v>
      </c>
      <c r="J235" s="19" t="n">
        <v>-6.099569000000001</v>
      </c>
      <c r="K235" s="19" t="n">
        <v>18.29022</v>
      </c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>
        <v>14.189531</v>
      </c>
      <c r="V235" s="19" t="n">
        <v>212.11</v>
      </c>
      <c r="W235" s="19" t="n">
        <v>-0.752461153885471</v>
      </c>
      <c r="X235" s="19" t="n">
        <v>-1.006786589316556</v>
      </c>
      <c r="Y235" s="19" t="n"/>
      <c r="Z235" s="19" t="n"/>
      <c r="AA235" s="19" t="n"/>
      <c r="AB235" s="19" t="n"/>
      <c r="AC235" s="19" t="n"/>
      <c r="AD235" s="19" t="n"/>
      <c r="AE235" s="19" t="n">
        <v>10.443623</v>
      </c>
      <c r="AF235" s="19" t="n"/>
      <c r="AG235" s="19" t="n"/>
      <c r="AH235" s="19" t="n"/>
      <c r="AI235" s="19" t="n">
        <v>13.62339</v>
      </c>
      <c r="AJ235" s="19" t="n">
        <v>13.62339</v>
      </c>
      <c r="AK235" s="19" t="n">
        <v>12.406152</v>
      </c>
      <c r="AL235" s="19" t="inlineStr">
        <is>
          <t>Equity Scheme - Sectoral/ Thematic</t>
        </is>
      </c>
      <c r="AM235" s="19" t="n">
        <v>2.25</v>
      </c>
      <c r="AN235" s="19" t="n">
        <v>0</v>
      </c>
      <c r="AO235" s="19" t="n">
        <v>0.05</v>
      </c>
      <c r="AP235" s="19" t="n">
        <v>0.12</v>
      </c>
      <c r="AQ235" s="19" t="n">
        <v>2.42</v>
      </c>
      <c r="AR235" s="19" t="n">
        <v>0.6899999999999999</v>
      </c>
      <c r="AS235" s="19" t="n">
        <v>0</v>
      </c>
      <c r="AT235" s="19" t="n">
        <v>0.05</v>
      </c>
      <c r="AU235" s="19" t="n">
        <v>0.12</v>
      </c>
      <c r="AV235" s="19" t="n">
        <v>0.86</v>
      </c>
      <c r="AW235" s="17" t="n">
        <v>1.565225590495494</v>
      </c>
      <c r="AX235" s="18" t="inlineStr">
        <is>
          <t>-3cr</t>
        </is>
      </c>
      <c r="AY235" s="26" t="n">
        <v>1.486988430063178</v>
      </c>
      <c r="AZ235" s="26" t="n">
        <v>1.453221061498769</v>
      </c>
      <c r="BA235" s="26" t="n">
        <v>0.6581709391991498</v>
      </c>
      <c r="BB235" s="28" t="n">
        <v>3</v>
      </c>
      <c r="BC235" t="n">
        <v>1</v>
      </c>
      <c r="BD235" t="n">
        <v>1</v>
      </c>
      <c r="BE235" t="n">
        <v>1</v>
      </c>
      <c r="BF235" t="n">
        <v>0</v>
      </c>
      <c r="BG235" t="n">
        <v>0</v>
      </c>
      <c r="BH235" t="n">
        <v>0</v>
      </c>
    </row>
    <row r="236">
      <c r="A236" s="19" t="inlineStr">
        <is>
          <t>HSBC Business Cycles Fund</t>
        </is>
      </c>
      <c r="B236" s="19" t="inlineStr">
        <is>
          <t>sectorial:thematic</t>
        </is>
      </c>
      <c r="C236" s="19" t="inlineStr">
        <is>
          <t>Nifty 500 TRI</t>
        </is>
      </c>
      <c r="D236" s="19" t="inlineStr">
        <is>
          <t>Very High</t>
        </is>
      </c>
      <c r="E236" s="19" t="inlineStr">
        <is>
          <t>Very High</t>
        </is>
      </c>
      <c r="F236" s="20" t="n">
        <v>46023</v>
      </c>
      <c r="G236" s="19" t="n">
        <v>42.0039</v>
      </c>
      <c r="H236" s="19" t="n">
        <v>46.4763</v>
      </c>
      <c r="I236" s="19" t="n">
        <v>-2.405206</v>
      </c>
      <c r="J236" s="19" t="n">
        <v>-9.824234300000001</v>
      </c>
      <c r="K236" s="19" t="n">
        <v>7.4190283</v>
      </c>
      <c r="L236" s="19" t="n">
        <v>21.598145</v>
      </c>
      <c r="M236" s="19" t="n">
        <v>4.875916</v>
      </c>
      <c r="N236" s="19" t="n">
        <v>16.722229</v>
      </c>
      <c r="O236" s="19" t="n">
        <v>20.999014</v>
      </c>
      <c r="P236" s="19" t="n">
        <v>4.210297000000001</v>
      </c>
      <c r="Q236" s="19" t="n">
        <v>16.788717</v>
      </c>
      <c r="R236" s="19" t="n">
        <v>14.347012</v>
      </c>
      <c r="S236" s="19" t="n">
        <v>-0.3859270000000006</v>
      </c>
      <c r="T236" s="19" t="n">
        <v>14.732939</v>
      </c>
      <c r="U236" s="19" t="n">
        <v>14.460583</v>
      </c>
      <c r="V236" s="19" t="n">
        <v>1137.68</v>
      </c>
      <c r="W236" s="19" t="n">
        <v>-1.238910722474952</v>
      </c>
      <c r="X236" s="19" t="n">
        <v>-1.398757053370973</v>
      </c>
      <c r="Y236" s="19" t="n">
        <v>-0.00772918900088343</v>
      </c>
      <c r="Z236" s="19" t="n">
        <v>-0.1646182641312633</v>
      </c>
      <c r="AA236" s="19" t="n">
        <v>0.7184531561729873</v>
      </c>
      <c r="AB236" s="19" t="n">
        <v>0.546062543147936</v>
      </c>
      <c r="AC236" s="19" t="n">
        <v>0.6447547651778401</v>
      </c>
      <c r="AD236" s="19" t="n">
        <v>0.4634337703811214</v>
      </c>
      <c r="AE236" s="19" t="n">
        <v>-3.514724</v>
      </c>
      <c r="AF236" s="19" t="n">
        <v>13.301632</v>
      </c>
      <c r="AG236" s="19" t="n">
        <v>20.272108</v>
      </c>
      <c r="AH236" s="19" t="n">
        <v>19.692444</v>
      </c>
      <c r="AI236" s="19" t="n">
        <v>13.622769</v>
      </c>
      <c r="AJ236" s="19" t="n">
        <v>13.622769</v>
      </c>
      <c r="AK236" s="19" t="n">
        <v>13.447007</v>
      </c>
      <c r="AL236" s="19" t="inlineStr">
        <is>
          <t>Equity Scheme - Sectoral/ Thematic</t>
        </is>
      </c>
      <c r="AM236" s="19" t="n">
        <v>2.03</v>
      </c>
      <c r="AN236" s="19" t="n">
        <v>0</v>
      </c>
      <c r="AO236" s="19" t="n">
        <v>0.05</v>
      </c>
      <c r="AP236" s="19" t="n">
        <v>0.13</v>
      </c>
      <c r="AQ236" s="19" t="n">
        <v>2.21</v>
      </c>
      <c r="AR236" s="19" t="n">
        <v>0.86</v>
      </c>
      <c r="AS236" s="19" t="n">
        <v>0</v>
      </c>
      <c r="AT236" s="19" t="n">
        <v>0.05</v>
      </c>
      <c r="AU236" s="19" t="n">
        <v>0.13</v>
      </c>
      <c r="AV236" s="19" t="n">
        <v>1.04</v>
      </c>
      <c r="AW236" s="17" t="n">
        <v>1.354510934533424</v>
      </c>
      <c r="AX236" s="18" t="inlineStr">
        <is>
          <t>-15cr</t>
        </is>
      </c>
      <c r="AY236" s="26" t="n">
        <v>1.402997252010547</v>
      </c>
      <c r="AZ236" s="26" t="n">
        <v>1.453221061498769</v>
      </c>
      <c r="BA236" s="26" t="n">
        <v>0.6164936153362437</v>
      </c>
      <c r="BB236" s="28" t="n">
        <v>2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1</v>
      </c>
    </row>
    <row r="237">
      <c r="A237" s="19" t="inlineStr">
        <is>
          <t>HSBC Consumption Fund</t>
        </is>
      </c>
      <c r="B237" s="19" t="inlineStr">
        <is>
          <t>sectorial:thematic</t>
        </is>
      </c>
      <c r="C237" s="19" t="inlineStr">
        <is>
          <t>Nifty India Consumption TRI</t>
        </is>
      </c>
      <c r="D237" s="19" t="inlineStr">
        <is>
          <t>Very High</t>
        </is>
      </c>
      <c r="E237" s="19" t="inlineStr">
        <is>
          <t>Very High</t>
        </is>
      </c>
      <c r="F237" s="20" t="n">
        <v>46023</v>
      </c>
      <c r="G237" s="19" t="n">
        <v>14.7254</v>
      </c>
      <c r="H237" s="19" t="n">
        <v>15.2001</v>
      </c>
      <c r="I237" s="19" t="n">
        <v>-0.8499452</v>
      </c>
      <c r="J237" s="19" t="n">
        <v>-8.9596582</v>
      </c>
      <c r="K237" s="19" t="n">
        <v>8.109712999999999</v>
      </c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>
        <v>19.597267</v>
      </c>
      <c r="V237" s="19" t="n">
        <v>1789.07</v>
      </c>
      <c r="W237" s="19" t="n">
        <v>-1.09572386025568</v>
      </c>
      <c r="X237" s="19" t="n">
        <v>-1.26951482827977</v>
      </c>
      <c r="Y237" s="19" t="n"/>
      <c r="Z237" s="19" t="n"/>
      <c r="AA237" s="19" t="n"/>
      <c r="AB237" s="19" t="n"/>
      <c r="AC237" s="19" t="n"/>
      <c r="AD237" s="19" t="n"/>
      <c r="AE237" s="19" t="n">
        <v>-2.1490085</v>
      </c>
      <c r="AF237" s="19" t="n"/>
      <c r="AG237" s="19" t="n"/>
      <c r="AH237" s="19" t="n"/>
      <c r="AI237" s="19" t="n">
        <v>19.113127</v>
      </c>
      <c r="AJ237" s="19" t="n">
        <v>19.113127</v>
      </c>
      <c r="AK237" s="19" t="n">
        <v>17.986403</v>
      </c>
      <c r="AL237" s="19" t="inlineStr">
        <is>
          <t>Equity Scheme - Sectoral/ Thematic</t>
        </is>
      </c>
      <c r="AM237" s="19" t="n">
        <v>1.94</v>
      </c>
      <c r="AN237" s="19" t="n">
        <v>0</v>
      </c>
      <c r="AO237" s="19" t="n">
        <v>0.05</v>
      </c>
      <c r="AP237" s="19" t="n">
        <v>0.12</v>
      </c>
      <c r="AQ237" s="19" t="n">
        <v>2.11</v>
      </c>
      <c r="AR237" s="19" t="n">
        <v>0.72</v>
      </c>
      <c r="AS237" s="19" t="n">
        <v>0</v>
      </c>
      <c r="AT237" s="19" t="n">
        <v>0.05</v>
      </c>
      <c r="AU237" s="19" t="n">
        <v>0.12</v>
      </c>
      <c r="AV237" s="19" t="n">
        <v>0.89</v>
      </c>
      <c r="AW237" s="17" t="n">
        <v>0.5365916369957652</v>
      </c>
      <c r="AX237" s="18" t="inlineStr">
        <is>
          <t>-10cr</t>
        </is>
      </c>
      <c r="AY237" s="26" t="n">
        <v>1.256082953378519</v>
      </c>
      <c r="AZ237" s="26" t="n">
        <v>1.453221061498769</v>
      </c>
      <c r="BA237" s="26" t="n">
        <v>0.5745733686328078</v>
      </c>
      <c r="BB237" s="28" t="n">
        <v>2</v>
      </c>
      <c r="BC237" t="n">
        <v>0</v>
      </c>
      <c r="BD237" t="n">
        <v>1</v>
      </c>
      <c r="BE237" t="n">
        <v>0</v>
      </c>
      <c r="BF237" t="n">
        <v>0</v>
      </c>
      <c r="BG237" t="n">
        <v>0</v>
      </c>
      <c r="BH237" t="n">
        <v>1</v>
      </c>
    </row>
    <row r="238">
      <c r="A238" s="19" t="inlineStr">
        <is>
          <t>HSBC Financial Services Fund</t>
        </is>
      </c>
      <c r="B238" s="19" t="inlineStr">
        <is>
          <t>sectorial:thematic</t>
        </is>
      </c>
      <c r="C238" s="19" t="inlineStr">
        <is>
          <t>BSE Financial Services TRI</t>
        </is>
      </c>
      <c r="D238" s="19" t="inlineStr">
        <is>
          <t>Very High</t>
        </is>
      </c>
      <c r="E238" s="19" t="inlineStr">
        <is>
          <t>Very High</t>
        </is>
      </c>
      <c r="F238" s="20" t="n">
        <v>46023</v>
      </c>
      <c r="G238" s="19" t="n">
        <v>12.203</v>
      </c>
      <c r="H238" s="19" t="n">
        <v>12.3481</v>
      </c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>
        <v>827.8200000000001</v>
      </c>
      <c r="W238" s="19" t="n"/>
      <c r="X238" s="19" t="n"/>
      <c r="Y238" s="19" t="n"/>
      <c r="Z238" s="19" t="n"/>
      <c r="AA238" s="19" t="n"/>
      <c r="AB238" s="19" t="n"/>
      <c r="AC238" s="19" t="n"/>
      <c r="AD238" s="19" t="n"/>
      <c r="AE238" s="19" t="n"/>
      <c r="AF238" s="19" t="n"/>
      <c r="AG238" s="19" t="n"/>
      <c r="AH238" s="19" t="n"/>
      <c r="AI238" s="19" t="n"/>
      <c r="AJ238" s="19" t="n"/>
      <c r="AK238" s="19" t="n"/>
      <c r="AL238" s="19" t="inlineStr">
        <is>
          <t>Equity Scheme - Sectoral/ Thematic</t>
        </is>
      </c>
      <c r="AM238" s="19" t="n">
        <v>2.12</v>
      </c>
      <c r="AN238" s="19" t="n">
        <v>0</v>
      </c>
      <c r="AO238" s="19" t="n">
        <v>0.05</v>
      </c>
      <c r="AP238" s="19" t="n">
        <v>0.1</v>
      </c>
      <c r="AQ238" s="19" t="n">
        <v>2.27</v>
      </c>
      <c r="AR238" s="19" t="n">
        <v>0.61</v>
      </c>
      <c r="AS238" s="19" t="n">
        <v>0</v>
      </c>
      <c r="AT238" s="19" t="n">
        <v>0.05</v>
      </c>
      <c r="AU238" s="19" t="n">
        <v>0.1</v>
      </c>
      <c r="AV238" s="19" t="n">
        <v>0.76</v>
      </c>
      <c r="AW238" s="17" t="n">
        <v>-2.934212751564359</v>
      </c>
      <c r="AX238" t="inlineStr">
        <is>
          <t>24cr</t>
        </is>
      </c>
      <c r="AY238" s="26" t="n">
        <v>1.785094052766444</v>
      </c>
      <c r="AZ238" s="26" t="n">
        <v>1.453221061498769</v>
      </c>
      <c r="BA238" s="26" t="n">
        <v>0.6006487840316194</v>
      </c>
      <c r="BB238" s="28" t="n">
        <v>1</v>
      </c>
      <c r="BC238" t="n">
        <v>0</v>
      </c>
      <c r="BD238" t="n">
        <v>0</v>
      </c>
      <c r="BE238" t="n">
        <v>1</v>
      </c>
      <c r="BF238" t="n">
        <v>0</v>
      </c>
      <c r="BG238" t="n">
        <v>0</v>
      </c>
      <c r="BH238" t="n">
        <v>0</v>
      </c>
    </row>
    <row r="239">
      <c r="A239" s="19" t="inlineStr">
        <is>
          <t>HSBC India Export Opportunities Fund</t>
        </is>
      </c>
      <c r="B239" s="19" t="inlineStr">
        <is>
          <t>sectorial:thematic</t>
        </is>
      </c>
      <c r="C239" s="19" t="inlineStr">
        <is>
          <t>Nifty 500 TRI</t>
        </is>
      </c>
      <c r="D239" s="19" t="inlineStr">
        <is>
          <t>Very High</t>
        </is>
      </c>
      <c r="E239" s="19" t="inlineStr">
        <is>
          <t>Very High</t>
        </is>
      </c>
      <c r="F239" s="20" t="n">
        <v>46023</v>
      </c>
      <c r="G239" s="19" t="n">
        <v>10.1184</v>
      </c>
      <c r="H239" s="19" t="n">
        <v>10.2984</v>
      </c>
      <c r="I239" s="19" t="n">
        <v>1.9986926</v>
      </c>
      <c r="J239" s="19" t="n">
        <v>-5.4203357</v>
      </c>
      <c r="K239" s="19" t="n">
        <v>7.4190283</v>
      </c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>
        <v>2.3450565</v>
      </c>
      <c r="V239" s="19" t="n">
        <v>1414.35</v>
      </c>
      <c r="W239" s="19" t="n">
        <v>-0.7613625512055969</v>
      </c>
      <c r="X239" s="19" t="n">
        <v>-0.9802140747324802</v>
      </c>
      <c r="Y239" s="19" t="n"/>
      <c r="Z239" s="19" t="n"/>
      <c r="AA239" s="19" t="n"/>
      <c r="AB239" s="19" t="n"/>
      <c r="AC239" s="19" t="n"/>
      <c r="AD239" s="19" t="n"/>
      <c r="AE239" s="19" t="n">
        <v>0.6025174</v>
      </c>
      <c r="AF239" s="19" t="n"/>
      <c r="AG239" s="19" t="n"/>
      <c r="AH239" s="19" t="n"/>
      <c r="AI239" s="19" t="n">
        <v>-0.6124341</v>
      </c>
      <c r="AJ239" s="19" t="n">
        <v>-0.6124341</v>
      </c>
      <c r="AK239" s="19" t="n">
        <v>0.9322269</v>
      </c>
      <c r="AL239" s="19" t="inlineStr">
        <is>
          <t>Equity Scheme - Sectoral/ Thematic</t>
        </is>
      </c>
      <c r="AM239" s="19" t="n">
        <v>1.99</v>
      </c>
      <c r="AN239" s="19" t="n">
        <v>0</v>
      </c>
      <c r="AO239" s="19" t="n">
        <v>0.05</v>
      </c>
      <c r="AP239" s="19" t="n">
        <v>0.12</v>
      </c>
      <c r="AQ239" s="19" t="n">
        <v>2.16</v>
      </c>
      <c r="AR239" s="19" t="n">
        <v>0.6899999999999999</v>
      </c>
      <c r="AS239" s="19" t="n">
        <v>0</v>
      </c>
      <c r="AT239" s="19" t="n">
        <v>0.05</v>
      </c>
      <c r="AU239" s="19" t="n">
        <v>0.12</v>
      </c>
      <c r="AV239" s="19" t="n">
        <v>0.86</v>
      </c>
      <c r="AW239" s="17" t="n">
        <v>6.133559585675399</v>
      </c>
      <c r="AX239" s="18" t="inlineStr">
        <is>
          <t>-87cr</t>
        </is>
      </c>
      <c r="AY239" s="26" t="n">
        <v>1.519624520547153</v>
      </c>
      <c r="AZ239" s="26" t="n">
        <v>1.453221061498769</v>
      </c>
      <c r="BA239" s="26" t="n">
        <v>0.6413546160837643</v>
      </c>
      <c r="BB239" s="28" t="n">
        <v>2</v>
      </c>
      <c r="BC239" t="n">
        <v>0</v>
      </c>
      <c r="BD239" t="n">
        <v>1</v>
      </c>
      <c r="BE239" t="n">
        <v>1</v>
      </c>
      <c r="BF239" t="n">
        <v>0</v>
      </c>
      <c r="BG239" t="n">
        <v>0</v>
      </c>
      <c r="BH239" t="n">
        <v>0</v>
      </c>
    </row>
    <row r="240">
      <c r="A240" s="19" t="inlineStr">
        <is>
          <t>HSBC Infrastructure Fund</t>
        </is>
      </c>
      <c r="B240" s="19" t="inlineStr">
        <is>
          <t>sectorial:thematic</t>
        </is>
      </c>
      <c r="C240" s="19" t="inlineStr">
        <is>
          <t>Nifty Infrastructure TRI</t>
        </is>
      </c>
      <c r="D240" s="19" t="inlineStr">
        <is>
          <t>Very High</t>
        </is>
      </c>
      <c r="E240" s="19" t="inlineStr">
        <is>
          <t>Very High</t>
        </is>
      </c>
      <c r="F240" s="20" t="n">
        <v>46023</v>
      </c>
      <c r="G240" s="19" t="n">
        <v>46.3341</v>
      </c>
      <c r="H240" s="19" t="n">
        <v>52.3333</v>
      </c>
      <c r="I240" s="19" t="n">
        <v>-3.4054224</v>
      </c>
      <c r="J240" s="19" t="n">
        <v>-18.2916034</v>
      </c>
      <c r="K240" s="19" t="n">
        <v>14.886181</v>
      </c>
      <c r="L240" s="19" t="n">
        <v>24.069527</v>
      </c>
      <c r="M240" s="19" t="n">
        <v>0.5518900000000002</v>
      </c>
      <c r="N240" s="19" t="n">
        <v>23.517637</v>
      </c>
      <c r="O240" s="19" t="n">
        <v>25.633665</v>
      </c>
      <c r="P240" s="19" t="n">
        <v>2.976459000000002</v>
      </c>
      <c r="Q240" s="19" t="n">
        <v>22.657206</v>
      </c>
      <c r="R240" s="19" t="n">
        <v>16.675207</v>
      </c>
      <c r="S240" s="19" t="n">
        <v>1.891938</v>
      </c>
      <c r="T240" s="19" t="n">
        <v>14.783269</v>
      </c>
      <c r="U240" s="19" t="n">
        <v>17.159073</v>
      </c>
      <c r="V240" s="19" t="n">
        <v>2281.16</v>
      </c>
      <c r="W240" s="19" t="n">
        <v>-2.072393941725998</v>
      </c>
      <c r="X240" s="19" t="n">
        <v>-2.197743260759296</v>
      </c>
      <c r="Y240" s="19" t="n">
        <v>0.1885977177945734</v>
      </c>
      <c r="Z240" s="19" t="n">
        <v>0.06977050379359651</v>
      </c>
      <c r="AA240" s="19" t="n">
        <v>0.09586652011704744</v>
      </c>
      <c r="AB240" s="19" t="n">
        <v>-0.03786393139713187</v>
      </c>
      <c r="AC240" s="19" t="n">
        <v>0.3401169989523909</v>
      </c>
      <c r="AD240" s="19" t="n">
        <v>0.2006468266203898</v>
      </c>
      <c r="AE240" s="19" t="n">
        <v>-4.3873115</v>
      </c>
      <c r="AF240" s="19" t="n">
        <v>15.493515</v>
      </c>
      <c r="AG240" s="19" t="n">
        <v>22.793877</v>
      </c>
      <c r="AH240" s="19" t="n">
        <v>24.30925</v>
      </c>
      <c r="AI240" s="19" t="n">
        <v>5.55032</v>
      </c>
      <c r="AJ240" s="19" t="n">
        <v>12.102118</v>
      </c>
      <c r="AK240" s="19" t="n">
        <v>8.751282</v>
      </c>
      <c r="AL240" s="19" t="inlineStr">
        <is>
          <t>Equity Scheme - Sectoral/ Thematic</t>
        </is>
      </c>
      <c r="AM240" s="19" t="n">
        <v>1.88</v>
      </c>
      <c r="AN240" s="19" t="n">
        <v>0</v>
      </c>
      <c r="AO240" s="19" t="n">
        <v>0.05</v>
      </c>
      <c r="AP240" s="19" t="n">
        <v>0.15</v>
      </c>
      <c r="AQ240" s="19" t="n">
        <v>2.08</v>
      </c>
      <c r="AR240" s="19" t="n">
        <v>0.8100000000000001</v>
      </c>
      <c r="AS240" s="19" t="n">
        <v>0</v>
      </c>
      <c r="AT240" s="19" t="n">
        <v>0.05</v>
      </c>
      <c r="AU240" s="19" t="n">
        <v>0.15</v>
      </c>
      <c r="AV240" s="19" t="n">
        <v>1.01</v>
      </c>
      <c r="AW240" s="17" t="n">
        <v>1.177909484648177</v>
      </c>
      <c r="AX240" s="18" t="inlineStr">
        <is>
          <t>-27cr</t>
        </is>
      </c>
      <c r="AY240" s="26" t="n">
        <v>1.537171889450788</v>
      </c>
      <c r="AZ240" s="26" t="n">
        <v>1.453221061498769</v>
      </c>
      <c r="BA240" s="26" t="n">
        <v>0.6876939157475788</v>
      </c>
      <c r="BB240" s="28" t="n">
        <v>1</v>
      </c>
      <c r="BC240" t="n">
        <v>0</v>
      </c>
      <c r="BD240" t="n">
        <v>1</v>
      </c>
      <c r="BE240" t="n">
        <v>0</v>
      </c>
      <c r="BF240" t="n">
        <v>0</v>
      </c>
      <c r="BG240" t="n">
        <v>0</v>
      </c>
      <c r="BH240" t="n">
        <v>0</v>
      </c>
    </row>
    <row r="241">
      <c r="A241" s="19" t="inlineStr">
        <is>
          <t>ICICI Prudential Active Momentum Fund</t>
        </is>
      </c>
      <c r="B241" s="19" t="inlineStr">
        <is>
          <t>sectorial:thematic</t>
        </is>
      </c>
      <c r="C241" s="19" t="inlineStr">
        <is>
          <t>Nifty 500 TRI</t>
        </is>
      </c>
      <c r="D241" s="19" t="inlineStr">
        <is>
          <t>Very High</t>
        </is>
      </c>
      <c r="E241" s="19" t="inlineStr">
        <is>
          <t>Very High</t>
        </is>
      </c>
      <c r="F241" s="20" t="n">
        <v>46023</v>
      </c>
      <c r="G241" s="19" t="n">
        <v>10.66</v>
      </c>
      <c r="H241" s="19" t="n">
        <v>10.72</v>
      </c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>
        <v>1444.98</v>
      </c>
      <c r="W241" s="19" t="n"/>
      <c r="X241" s="19" t="n"/>
      <c r="Y241" s="19" t="n"/>
      <c r="Z241" s="19" t="n"/>
      <c r="AA241" s="19" t="n"/>
      <c r="AB241" s="19" t="n"/>
      <c r="AC241" s="19" t="n"/>
      <c r="AD241" s="19" t="n"/>
      <c r="AE241" s="19" t="n"/>
      <c r="AF241" s="19" t="n"/>
      <c r="AG241" s="19" t="n"/>
      <c r="AH241" s="19" t="n"/>
      <c r="AI241" s="19" t="n"/>
      <c r="AJ241" s="19" t="n"/>
      <c r="AK241" s="19" t="n"/>
      <c r="AL241" s="19" t="inlineStr">
        <is>
          <t>Equity Scheme - Sectoral/ Thematic</t>
        </is>
      </c>
      <c r="AM241" s="19" t="n">
        <v>1.96</v>
      </c>
      <c r="AN241" s="19" t="n">
        <v>0</v>
      </c>
      <c r="AO241" s="19" t="n">
        <v>0.05</v>
      </c>
      <c r="AP241" s="19" t="n">
        <v>0.15</v>
      </c>
      <c r="AQ241" s="19" t="n">
        <v>2.16</v>
      </c>
      <c r="AR241" s="19" t="n">
        <v>0.84</v>
      </c>
      <c r="AS241" s="19" t="n">
        <v>0</v>
      </c>
      <c r="AT241" s="19" t="n">
        <v>0.05</v>
      </c>
      <c r="AU241" s="19" t="n">
        <v>0.15</v>
      </c>
      <c r="AV241" s="19" t="n">
        <v>1.04</v>
      </c>
      <c r="AW241" s="17" t="n">
        <v>-4.458193192985375</v>
      </c>
      <c r="AX241" t="inlineStr">
        <is>
          <t>64cr</t>
        </is>
      </c>
      <c r="AY241" s="26" t="n">
        <v>1.444544983948878</v>
      </c>
      <c r="AZ241" s="26" t="n">
        <v>1.453221061498769</v>
      </c>
      <c r="BA241" s="26" t="n">
        <v>0.469872521112291</v>
      </c>
      <c r="BB241" s="28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1</v>
      </c>
    </row>
    <row r="242">
      <c r="A242" s="19" t="inlineStr">
        <is>
          <t>ICICI Prudential Bharat Consumption Fund</t>
        </is>
      </c>
      <c r="B242" s="19" t="inlineStr">
        <is>
          <t>sectorial:thematic</t>
        </is>
      </c>
      <c r="C242" s="19" t="inlineStr">
        <is>
          <t>Nifty India Consumption TRI</t>
        </is>
      </c>
      <c r="D242" s="19" t="inlineStr">
        <is>
          <t>Very High</t>
        </is>
      </c>
      <c r="E242" s="19" t="inlineStr">
        <is>
          <t>Very High</t>
        </is>
      </c>
      <c r="F242" s="20" t="n">
        <v>46023</v>
      </c>
      <c r="G242" s="19" t="n">
        <v>25.43</v>
      </c>
      <c r="H242" s="19" t="n">
        <v>27.44</v>
      </c>
      <c r="I242" s="19" t="n">
        <v>3.313253</v>
      </c>
      <c r="J242" s="19" t="n">
        <v>-4.79646</v>
      </c>
      <c r="K242" s="19" t="n">
        <v>8.109712999999999</v>
      </c>
      <c r="L242" s="19" t="n">
        <v>17.995594</v>
      </c>
      <c r="M242" s="19" t="n">
        <v>-0.5110969999999995</v>
      </c>
      <c r="N242" s="19" t="n">
        <v>18.506691</v>
      </c>
      <c r="O242" s="19" t="n">
        <v>17.860493</v>
      </c>
      <c r="P242" s="19" t="n">
        <v>1.084944</v>
      </c>
      <c r="Q242" s="19" t="n">
        <v>16.775549</v>
      </c>
      <c r="R242" s="19" t="n"/>
      <c r="S242" s="19" t="n"/>
      <c r="T242" s="19" t="n"/>
      <c r="U242" s="19" t="n">
        <v>16.185179</v>
      </c>
      <c r="V242" s="19" t="n">
        <v>3213.46</v>
      </c>
      <c r="W242" s="19" t="n">
        <v>-1.168510319148453</v>
      </c>
      <c r="X242" s="19" t="n">
        <v>-1.384029647602452</v>
      </c>
      <c r="Y242" s="19" t="n"/>
      <c r="Z242" s="19" t="n"/>
      <c r="AA242" s="19" t="n">
        <v>-0.1469868387572609</v>
      </c>
      <c r="AB242" s="19" t="n">
        <v>-0.3388039048817937</v>
      </c>
      <c r="AC242" s="19" t="n">
        <v>0.1221059075936092</v>
      </c>
      <c r="AD242" s="19" t="n">
        <v>-0.05690976409095654</v>
      </c>
      <c r="AE242" s="19" t="n">
        <v>2.3752012</v>
      </c>
      <c r="AF242" s="19" t="n"/>
      <c r="AG242" s="19" t="n">
        <v>16.968786</v>
      </c>
      <c r="AH242" s="19" t="n">
        <v>16.707533</v>
      </c>
      <c r="AI242" s="19" t="n">
        <v>15.889102</v>
      </c>
      <c r="AJ242" s="19" t="n">
        <v>15.889102</v>
      </c>
      <c r="AK242" s="19" t="n">
        <v>14.879043</v>
      </c>
      <c r="AL242" s="19" t="inlineStr">
        <is>
          <t>Equity Scheme - Sectoral/ Thematic</t>
        </is>
      </c>
      <c r="AM242" s="19" t="n">
        <v>1.8</v>
      </c>
      <c r="AN242" s="19" t="n">
        <v>0</v>
      </c>
      <c r="AO242" s="19" t="n">
        <v>0.05</v>
      </c>
      <c r="AP242" s="19" t="n">
        <v>0.16</v>
      </c>
      <c r="AQ242" s="19" t="n">
        <v>2.01</v>
      </c>
      <c r="AR242" s="19" t="n">
        <v>0.9</v>
      </c>
      <c r="AS242" s="19" t="n">
        <v>0</v>
      </c>
      <c r="AT242" s="19" t="n">
        <v>0.05</v>
      </c>
      <c r="AU242" s="19" t="n">
        <v>0.16</v>
      </c>
      <c r="AV242" s="19" t="n">
        <v>1.11</v>
      </c>
      <c r="AW242" s="17" t="n">
        <v>1.32287316475076</v>
      </c>
      <c r="AX242" s="18" t="inlineStr">
        <is>
          <t>-43cr</t>
        </is>
      </c>
      <c r="AY242" s="26" t="n">
        <v>1.233750063321507</v>
      </c>
      <c r="AZ242" s="26" t="n">
        <v>1.453221061498769</v>
      </c>
      <c r="BA242" s="26" t="n">
        <v>0.4928753518149523</v>
      </c>
      <c r="BB242" s="28" t="n">
        <v>2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1</v>
      </c>
    </row>
    <row r="243">
      <c r="A243" s="19" t="inlineStr">
        <is>
          <t>ICICI Prudential Business Cycle Fund</t>
        </is>
      </c>
      <c r="B243" s="19" t="inlineStr">
        <is>
          <t>sectorial:thematic</t>
        </is>
      </c>
      <c r="C243" s="19" t="inlineStr">
        <is>
          <t>Nifty 500 TRI</t>
        </is>
      </c>
      <c r="D243" s="19" t="inlineStr">
        <is>
          <t>Very High</t>
        </is>
      </c>
      <c r="E243" s="19" t="inlineStr">
        <is>
          <t>Very High</t>
        </is>
      </c>
      <c r="F243" s="20" t="n">
        <v>46023</v>
      </c>
      <c r="G243" s="19" t="n">
        <v>25.83</v>
      </c>
      <c r="H243" s="19" t="n">
        <v>27.4</v>
      </c>
      <c r="I243" s="19" t="n">
        <v>16.645382</v>
      </c>
      <c r="J243" s="19" t="n">
        <v>9.226353700000001</v>
      </c>
      <c r="K243" s="19" t="n">
        <v>7.4190283</v>
      </c>
      <c r="L243" s="19" t="n">
        <v>23.987259</v>
      </c>
      <c r="M243" s="19" t="n">
        <v>7.265030000000003</v>
      </c>
      <c r="N243" s="19" t="n">
        <v>16.722229</v>
      </c>
      <c r="O243" s="19" t="n"/>
      <c r="P243" s="19" t="n"/>
      <c r="Q243" s="19" t="n"/>
      <c r="R243" s="19" t="n"/>
      <c r="S243" s="19" t="n"/>
      <c r="T243" s="19" t="n"/>
      <c r="U243" s="19" t="n">
        <v>22.553146</v>
      </c>
      <c r="V243" s="19" t="n">
        <v>16041.52</v>
      </c>
      <c r="W243" s="19" t="n">
        <v>2.178476779080965</v>
      </c>
      <c r="X243" s="19" t="n">
        <v>1.914732022177239</v>
      </c>
      <c r="Y243" s="19" t="n"/>
      <c r="Z243" s="19" t="n"/>
      <c r="AA243" s="19" t="n">
        <v>1.486675152156357</v>
      </c>
      <c r="AB243" s="19" t="n">
        <v>1.225199054279049</v>
      </c>
      <c r="AC243" s="19" t="n"/>
      <c r="AD243" s="19" t="n"/>
      <c r="AE243" s="19" t="n">
        <v>15.518784</v>
      </c>
      <c r="AF243" s="19" t="n"/>
      <c r="AG243" s="19" t="n">
        <v>22.72689</v>
      </c>
      <c r="AH243" s="19" t="n"/>
      <c r="AI243" s="19" t="n">
        <v>16.551073</v>
      </c>
      <c r="AJ243" s="19" t="n">
        <v>16.551073</v>
      </c>
      <c r="AK243" s="19" t="n">
        <v>21.10272</v>
      </c>
      <c r="AL243" s="19" t="inlineStr">
        <is>
          <t>Equity Scheme - Sectoral/ Thematic</t>
        </is>
      </c>
      <c r="AM243" s="19" t="n">
        <v>1.53</v>
      </c>
      <c r="AN243" s="19" t="n">
        <v>0</v>
      </c>
      <c r="AO243" s="19" t="n">
        <v>0.05</v>
      </c>
      <c r="AP243" s="19" t="n">
        <v>0.1</v>
      </c>
      <c r="AQ243" s="19" t="n">
        <v>1.68</v>
      </c>
      <c r="AR243" s="19" t="n">
        <v>0.59</v>
      </c>
      <c r="AS243" s="19" t="n">
        <v>0</v>
      </c>
      <c r="AT243" s="19" t="n">
        <v>0.05</v>
      </c>
      <c r="AU243" s="19" t="n">
        <v>0.1</v>
      </c>
      <c r="AV243" s="19" t="n">
        <v>0.74</v>
      </c>
      <c r="AW243" s="17" t="n">
        <v>-1.915155172327817</v>
      </c>
      <c r="AX243" t="inlineStr">
        <is>
          <t>307cr</t>
        </is>
      </c>
      <c r="AY243" s="26" t="n">
        <v>1.401942197287862</v>
      </c>
      <c r="AZ243" s="26" t="n">
        <v>1.453221061498769</v>
      </c>
      <c r="BA243" s="26" t="n">
        <v>0.4372946004636692</v>
      </c>
      <c r="BB243" s="28" t="n">
        <v>5</v>
      </c>
      <c r="BC243" t="n">
        <v>1</v>
      </c>
      <c r="BD243" t="n">
        <v>0</v>
      </c>
      <c r="BE243" t="n">
        <v>1</v>
      </c>
      <c r="BF243" t="n">
        <v>1</v>
      </c>
      <c r="BG243" t="n">
        <v>1</v>
      </c>
      <c r="BH243" t="n">
        <v>1</v>
      </c>
    </row>
    <row r="244">
      <c r="A244" s="19" t="inlineStr">
        <is>
          <t>ICICI Prudential Commodities Fund</t>
        </is>
      </c>
      <c r="B244" s="19" t="inlineStr">
        <is>
          <t>sectorial:thematic</t>
        </is>
      </c>
      <c r="C244" s="19" t="inlineStr">
        <is>
          <t>Nifty Commodities TRI</t>
        </is>
      </c>
      <c r="D244" s="19" t="inlineStr">
        <is>
          <t>Very High</t>
        </is>
      </c>
      <c r="E244" s="19" t="inlineStr">
        <is>
          <t>Very High</t>
        </is>
      </c>
      <c r="F244" s="20" t="n">
        <v>46023</v>
      </c>
      <c r="G244" s="19" t="n">
        <v>45.34</v>
      </c>
      <c r="H244" s="19" t="n">
        <v>49.17</v>
      </c>
      <c r="I244" s="19" t="n">
        <v>19.228905</v>
      </c>
      <c r="J244" s="19" t="n">
        <v>-0.06890800000000041</v>
      </c>
      <c r="K244" s="19" t="n">
        <v>19.297813</v>
      </c>
      <c r="L244" s="19" t="n">
        <v>18.941092</v>
      </c>
      <c r="M244" s="19" t="n">
        <v>0.7394050000000014</v>
      </c>
      <c r="N244" s="19" t="n">
        <v>18.201687</v>
      </c>
      <c r="O244" s="19" t="n">
        <v>27.331932</v>
      </c>
      <c r="P244" s="19" t="n">
        <v>5.542231999999998</v>
      </c>
      <c r="Q244" s="19" t="n">
        <v>21.7897</v>
      </c>
      <c r="R244" s="19" t="n"/>
      <c r="S244" s="19" t="n"/>
      <c r="T244" s="19" t="n"/>
      <c r="U244" s="19" t="n">
        <v>29.187508</v>
      </c>
      <c r="V244" s="19" t="n">
        <v>3422.91</v>
      </c>
      <c r="W244" s="19" t="n">
        <v>0.01059966392013955</v>
      </c>
      <c r="X244" s="19" t="n">
        <v>-0.13841673565584</v>
      </c>
      <c r="Y244" s="19" t="n"/>
      <c r="Z244" s="19" t="n"/>
      <c r="AA244" s="19" t="n">
        <v>0.0970857492167229</v>
      </c>
      <c r="AB244" s="19" t="n">
        <v>-0.05999826999258201</v>
      </c>
      <c r="AC244" s="19" t="n">
        <v>0.5538983408038624</v>
      </c>
      <c r="AD244" s="19" t="n">
        <v>0.4140852357829398</v>
      </c>
      <c r="AE244" s="19" t="n">
        <v>18.072916</v>
      </c>
      <c r="AF244" s="19" t="n"/>
      <c r="AG244" s="19" t="n">
        <v>17.657269</v>
      </c>
      <c r="AH244" s="19" t="n">
        <v>25.767736</v>
      </c>
      <c r="AI244" s="19" t="n">
        <v>20.29229</v>
      </c>
      <c r="AJ244" s="19" t="n">
        <v>20.29229</v>
      </c>
      <c r="AK244" s="19" t="n">
        <v>27.513922</v>
      </c>
      <c r="AL244" s="19" t="inlineStr">
        <is>
          <t>Equity Scheme - Sectoral/ Thematic</t>
        </is>
      </c>
      <c r="AM244" s="19" t="n">
        <v>1.77</v>
      </c>
      <c r="AN244" s="19" t="n">
        <v>0</v>
      </c>
      <c r="AO244" s="19" t="n">
        <v>0.05</v>
      </c>
      <c r="AP244" s="19" t="n">
        <v>0.14</v>
      </c>
      <c r="AQ244" s="19" t="n">
        <v>1.96</v>
      </c>
      <c r="AR244" s="19" t="n">
        <v>0.8100000000000001</v>
      </c>
      <c r="AS244" s="19" t="n">
        <v>0</v>
      </c>
      <c r="AT244" s="19" t="n">
        <v>0.05</v>
      </c>
      <c r="AU244" s="19" t="n">
        <v>0.14</v>
      </c>
      <c r="AV244" s="19" t="n">
        <v>1</v>
      </c>
      <c r="AW244" s="17" t="n">
        <v>-7.737568326365575</v>
      </c>
      <c r="AX244" t="inlineStr">
        <is>
          <t>265cr</t>
        </is>
      </c>
      <c r="AY244" s="26" t="n">
        <v>1.303388098391255</v>
      </c>
      <c r="AZ244" s="26" t="n">
        <v>1.453221061498769</v>
      </c>
      <c r="BA244" s="26" t="n">
        <v>0.7337295234832676</v>
      </c>
      <c r="BB244" s="28" t="n">
        <v>2</v>
      </c>
      <c r="BC244" t="n">
        <v>1</v>
      </c>
      <c r="BD244" t="n">
        <v>0</v>
      </c>
      <c r="BE244" t="n">
        <v>0</v>
      </c>
      <c r="BF244" t="n">
        <v>0</v>
      </c>
      <c r="BG244" t="n">
        <v>0</v>
      </c>
      <c r="BH244" t="n">
        <v>1</v>
      </c>
    </row>
    <row r="245">
      <c r="A245" s="19" t="inlineStr">
        <is>
          <t>ICICI Prudential Conglomerate Fund</t>
        </is>
      </c>
      <c r="B245" s="19" t="inlineStr">
        <is>
          <t>sectorial:thematic</t>
        </is>
      </c>
      <c r="C245" s="19" t="inlineStr">
        <is>
          <t>BSE Select Business Groups Index</t>
        </is>
      </c>
      <c r="D245" s="19" t="inlineStr">
        <is>
          <t>Very High</t>
        </is>
      </c>
      <c r="E245" s="19" t="inlineStr">
        <is>
          <t>Very High</t>
        </is>
      </c>
      <c r="F245" s="20" t="n">
        <v>46023</v>
      </c>
      <c r="G245" s="19" t="n">
        <v>10.12</v>
      </c>
      <c r="H245" s="19" t="n">
        <v>10.15</v>
      </c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>
        <v>883.49</v>
      </c>
      <c r="W245" s="19" t="n"/>
      <c r="X245" s="19" t="n"/>
      <c r="Y245" s="19" t="n"/>
      <c r="Z245" s="19" t="n"/>
      <c r="AA245" s="19" t="n"/>
      <c r="AB245" s="19" t="n"/>
      <c r="AC245" s="19" t="n"/>
      <c r="AD245" s="19" t="n"/>
      <c r="AE245" s="19" t="n"/>
      <c r="AF245" s="19" t="n"/>
      <c r="AG245" s="19" t="n"/>
      <c r="AH245" s="19" t="n"/>
      <c r="AI245" s="19" t="n"/>
      <c r="AJ245" s="19" t="n"/>
      <c r="AK245" s="19" t="n"/>
      <c r="AL245" s="19" t="inlineStr">
        <is>
          <t>Equity Scheme - Sectoral/ Thematic</t>
        </is>
      </c>
      <c r="AM245" s="19" t="n">
        <v>2.11</v>
      </c>
      <c r="AN245" s="19" t="n">
        <v>0</v>
      </c>
      <c r="AO245" s="19" t="n">
        <v>0.05</v>
      </c>
      <c r="AP245" s="19" t="n">
        <v>0.17</v>
      </c>
      <c r="AQ245" s="19" t="n">
        <v>2.33</v>
      </c>
      <c r="AR245" s="19" t="n">
        <v>0.98</v>
      </c>
      <c r="AS245" s="19" t="n">
        <v>0</v>
      </c>
      <c r="AT245" s="19" t="n">
        <v>0.05</v>
      </c>
      <c r="AU245" s="19" t="n">
        <v>0.17</v>
      </c>
      <c r="AV245" s="19" t="n">
        <v>1.2</v>
      </c>
      <c r="AW245" s="17" t="n">
        <v>-0.8104223024595603</v>
      </c>
      <c r="AX245" t="inlineStr">
        <is>
          <t>7cr</t>
        </is>
      </c>
      <c r="AY245" s="26" t="n">
        <v>0.7265209533556906</v>
      </c>
      <c r="AZ245" s="26" t="n">
        <v>1.453221061498769</v>
      </c>
      <c r="BA245" s="26" t="n">
        <v>0.5215108657569975</v>
      </c>
      <c r="BB245" s="28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1</v>
      </c>
    </row>
    <row r="246">
      <c r="A246" s="19" t="inlineStr">
        <is>
          <t>ICICI Prudential Equity Minimum Variance Fund</t>
        </is>
      </c>
      <c r="B246" s="19" t="inlineStr">
        <is>
          <t>sectorial:thematic</t>
        </is>
      </c>
      <c r="C246" s="19" t="inlineStr">
        <is>
          <t>Nifty 50 TRI</t>
        </is>
      </c>
      <c r="D246" s="19" t="inlineStr">
        <is>
          <t>Very High</t>
        </is>
      </c>
      <c r="E246" s="19" t="inlineStr">
        <is>
          <t>Very High</t>
        </is>
      </c>
      <c r="F246" s="20" t="n">
        <v>46023</v>
      </c>
      <c r="G246" s="19" t="n">
        <v>11.08</v>
      </c>
      <c r="H246" s="19" t="n">
        <v>11.23</v>
      </c>
      <c r="I246" s="19" t="n">
        <v>14.126017</v>
      </c>
      <c r="J246" s="19" t="n">
        <v>2.632524999999999</v>
      </c>
      <c r="K246" s="19" t="n">
        <v>11.493492</v>
      </c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>
        <v>11.437073</v>
      </c>
      <c r="V246" s="19" t="n">
        <v>3843.16</v>
      </c>
      <c r="W246" s="19" t="n">
        <v>0.6732046781238261</v>
      </c>
      <c r="X246" s="19" t="n">
        <v>0.2716501321421786</v>
      </c>
      <c r="Y246" s="19" t="n"/>
      <c r="Z246" s="19" t="n"/>
      <c r="AA246" s="19" t="n"/>
      <c r="AB246" s="19" t="n"/>
      <c r="AC246" s="19" t="n"/>
      <c r="AD246" s="19" t="n"/>
      <c r="AE246" s="19" t="n">
        <v>12.716175</v>
      </c>
      <c r="AF246" s="19" t="n"/>
      <c r="AG246" s="19" t="n"/>
      <c r="AH246" s="19" t="n"/>
      <c r="AI246" s="19" t="n">
        <v>6.77021</v>
      </c>
      <c r="AJ246" s="19" t="n">
        <v>6.77021</v>
      </c>
      <c r="AK246" s="19" t="n">
        <v>10.046957</v>
      </c>
      <c r="AL246" s="19" t="inlineStr">
        <is>
          <t>Equity Scheme - Sectoral/ Thematic</t>
        </is>
      </c>
      <c r="AM246" s="19" t="n">
        <v>1.77</v>
      </c>
      <c r="AN246" s="19" t="n">
        <v>0</v>
      </c>
      <c r="AO246" s="19" t="n">
        <v>0.05</v>
      </c>
      <c r="AP246" s="19" t="n">
        <v>0.11</v>
      </c>
      <c r="AQ246" s="19" t="n">
        <v>1.93</v>
      </c>
      <c r="AR246" s="19" t="n">
        <v>0.64</v>
      </c>
      <c r="AS246" s="19" t="n">
        <v>0</v>
      </c>
      <c r="AT246" s="19" t="n">
        <v>0.05</v>
      </c>
      <c r="AU246" s="19" t="n">
        <v>0.11</v>
      </c>
      <c r="AV246" s="19" t="n">
        <v>0.8</v>
      </c>
      <c r="AW246" s="17" t="n">
        <v>0.9895502659270028</v>
      </c>
      <c r="AX246" s="18" t="inlineStr">
        <is>
          <t>-38cr</t>
        </is>
      </c>
      <c r="AY246" s="26" t="n">
        <v>1.78565499922191</v>
      </c>
      <c r="AZ246" s="26" t="n">
        <v>1.453221061498769</v>
      </c>
      <c r="BA246" s="26" t="n">
        <v>0.4529385488626902</v>
      </c>
      <c r="BB246" s="28" t="n">
        <v>4</v>
      </c>
      <c r="BC246" t="n">
        <v>1</v>
      </c>
      <c r="BD246" t="n">
        <v>1</v>
      </c>
      <c r="BE246" t="n">
        <v>1</v>
      </c>
      <c r="BF246" t="n">
        <v>1</v>
      </c>
      <c r="BG246" t="n">
        <v>0</v>
      </c>
      <c r="BH246" t="n">
        <v>0</v>
      </c>
    </row>
    <row r="247">
      <c r="A247" s="19" t="inlineStr">
        <is>
          <t>ICICI Prudential ESG Exclusionary Strategy Fund</t>
        </is>
      </c>
      <c r="B247" s="19" t="inlineStr">
        <is>
          <t>sectorial:thematic</t>
        </is>
      </c>
      <c r="C247" s="19" t="inlineStr">
        <is>
          <t>Nifty 100 ESG TRI</t>
        </is>
      </c>
      <c r="D247" s="19" t="inlineStr">
        <is>
          <t>Very High</t>
        </is>
      </c>
      <c r="E247" s="19" t="inlineStr">
        <is>
          <t>Very High</t>
        </is>
      </c>
      <c r="F247" s="20" t="n">
        <v>46023</v>
      </c>
      <c r="G247" s="19" t="n">
        <v>22.77</v>
      </c>
      <c r="H247" s="19" t="n">
        <v>24.38</v>
      </c>
      <c r="I247" s="19" t="n">
        <v>6.7893124</v>
      </c>
      <c r="J247" s="19" t="n">
        <v>-4.9973756</v>
      </c>
      <c r="K247" s="19" t="n">
        <v>11.786688</v>
      </c>
      <c r="L247" s="19" t="n">
        <v>20.884094</v>
      </c>
      <c r="M247" s="19" t="n">
        <v>4.891723000000001</v>
      </c>
      <c r="N247" s="19" t="n">
        <v>15.992371</v>
      </c>
      <c r="O247" s="19" t="n">
        <v>16.47115</v>
      </c>
      <c r="P247" s="19" t="n">
        <v>1.652510000000001</v>
      </c>
      <c r="Q247" s="19" t="n">
        <v>14.81864</v>
      </c>
      <c r="R247" s="19" t="n"/>
      <c r="S247" s="19" t="n"/>
      <c r="T247" s="19" t="n"/>
      <c r="U247" s="19" t="n">
        <v>18.566483</v>
      </c>
      <c r="V247" s="19" t="n">
        <v>1492.92</v>
      </c>
      <c r="W247" s="19" t="n">
        <v>-1.094197863878817</v>
      </c>
      <c r="X247" s="19" t="n">
        <v>-1.343353100252645</v>
      </c>
      <c r="Y247" s="19" t="n"/>
      <c r="Z247" s="19" t="n"/>
      <c r="AA247" s="19" t="n">
        <v>0.7945294464222946</v>
      </c>
      <c r="AB247" s="19" t="n">
        <v>0.5607869530458199</v>
      </c>
      <c r="AC247" s="19" t="n">
        <v>0.2159578858458028</v>
      </c>
      <c r="AD247" s="19" t="n">
        <v>-0.02217409981908064</v>
      </c>
      <c r="AE247" s="19" t="n">
        <v>5.661253</v>
      </c>
      <c r="AF247" s="19" t="n"/>
      <c r="AG247" s="19" t="n">
        <v>19.481092</v>
      </c>
      <c r="AH247" s="19" t="n">
        <v>14.972354</v>
      </c>
      <c r="AI247" s="19" t="n">
        <v>17.658611</v>
      </c>
      <c r="AJ247" s="19" t="n">
        <v>17.658611</v>
      </c>
      <c r="AK247" s="19" t="n">
        <v>17.028566</v>
      </c>
      <c r="AL247" s="19" t="inlineStr">
        <is>
          <t>Equity Scheme - Sectoral/ Thematic</t>
        </is>
      </c>
      <c r="AM247" s="19" t="n">
        <v>1.97</v>
      </c>
      <c r="AN247" s="19" t="n">
        <v>0</v>
      </c>
      <c r="AO247" s="19" t="n">
        <v>0.05</v>
      </c>
      <c r="AP247" s="19" t="n">
        <v>0.15</v>
      </c>
      <c r="AQ247" s="19" t="n">
        <v>2.17</v>
      </c>
      <c r="AR247" s="19" t="n">
        <v>0.83</v>
      </c>
      <c r="AS247" s="19" t="n">
        <v>0</v>
      </c>
      <c r="AT247" s="19" t="n">
        <v>0.05</v>
      </c>
      <c r="AU247" s="19" t="n">
        <v>0.15</v>
      </c>
      <c r="AV247" s="19" t="n">
        <v>1.03</v>
      </c>
      <c r="AW247" s="17" t="n">
        <v>1.326259946949599</v>
      </c>
      <c r="AX247" s="18" t="inlineStr">
        <is>
          <t>-20cr</t>
        </is>
      </c>
      <c r="AY247" s="26" t="n">
        <v>0.9830312105898293</v>
      </c>
      <c r="AZ247" s="26" t="n">
        <v>1.453221061498769</v>
      </c>
      <c r="BA247" s="26" t="n">
        <v>0.4685290593470948</v>
      </c>
      <c r="BB247" s="28" t="n">
        <v>3</v>
      </c>
      <c r="BC247" t="n">
        <v>1</v>
      </c>
      <c r="BD247" t="n">
        <v>1</v>
      </c>
      <c r="BE247" t="n">
        <v>0</v>
      </c>
      <c r="BF247" t="n">
        <v>0</v>
      </c>
      <c r="BG247" t="n">
        <v>0</v>
      </c>
      <c r="BH247" t="n">
        <v>1</v>
      </c>
    </row>
    <row r="248">
      <c r="A248" s="19" t="inlineStr">
        <is>
          <t>ICICI Prudential FMCG Fund</t>
        </is>
      </c>
      <c r="B248" s="19" t="inlineStr">
        <is>
          <t>sectorial:thematic</t>
        </is>
      </c>
      <c r="C248" s="19" t="inlineStr">
        <is>
          <t>Nifty FMCG TRI</t>
        </is>
      </c>
      <c r="D248" s="19" t="inlineStr">
        <is>
          <t>Very High</t>
        </is>
      </c>
      <c r="E248" s="19" t="inlineStr">
        <is>
          <t>Very High</t>
        </is>
      </c>
      <c r="F248" s="20" t="n">
        <v>46023</v>
      </c>
      <c r="G248" s="19" t="n">
        <v>456.62</v>
      </c>
      <c r="H248" s="19" t="n">
        <v>505.36</v>
      </c>
      <c r="I248" s="19" t="n">
        <v>-3.5498893</v>
      </c>
      <c r="J248" s="19" t="n">
        <v>0.4005759000000002</v>
      </c>
      <c r="K248" s="19" t="n">
        <v>-3.9504652</v>
      </c>
      <c r="L248" s="19" t="n">
        <v>6.873907</v>
      </c>
      <c r="M248" s="19" t="n">
        <v>-1.6921025</v>
      </c>
      <c r="N248" s="19" t="n">
        <v>8.5660095</v>
      </c>
      <c r="O248" s="19" t="n">
        <v>11.699099</v>
      </c>
      <c r="P248" s="19" t="n">
        <v>0.2890200000000007</v>
      </c>
      <c r="Q248" s="19" t="n">
        <v>11.410079</v>
      </c>
      <c r="R248" s="19" t="n">
        <v>11.842948</v>
      </c>
      <c r="S248" s="19" t="n">
        <v>-0.2691040000000005</v>
      </c>
      <c r="T248" s="19" t="n">
        <v>12.112052</v>
      </c>
      <c r="U248" s="19" t="n">
        <v>12.6780815</v>
      </c>
      <c r="V248" s="19" t="n">
        <v>1848.45</v>
      </c>
      <c r="W248" s="19" t="n">
        <v>0.1027473294686847</v>
      </c>
      <c r="X248" s="19" t="n">
        <v>-0.2239940028031603</v>
      </c>
      <c r="Y248" s="19" t="n">
        <v>-0.1048528027630425</v>
      </c>
      <c r="Z248" s="19" t="n">
        <v>-0.2576665853341459</v>
      </c>
      <c r="AA248" s="19" t="n">
        <v>-0.5585085001208487</v>
      </c>
      <c r="AB248" s="19" t="n">
        <v>-0.8342476964100854</v>
      </c>
      <c r="AC248" s="19" t="n">
        <v>0.003552831076255853</v>
      </c>
      <c r="AD248" s="19" t="n">
        <v>-0.1879733997563566</v>
      </c>
      <c r="AE248" s="19" t="n">
        <v>-4.3787823</v>
      </c>
      <c r="AF248" s="19" t="n">
        <v>10.924808</v>
      </c>
      <c r="AG248" s="19" t="n">
        <v>5.95621</v>
      </c>
      <c r="AH248" s="19" t="n">
        <v>10.757065</v>
      </c>
      <c r="AI248" s="19" t="n">
        <v>13.057212</v>
      </c>
      <c r="AJ248" s="19" t="n">
        <v>11.844296</v>
      </c>
      <c r="AK248" s="19" t="n">
        <v>15.340204</v>
      </c>
      <c r="AL248" s="19" t="inlineStr">
        <is>
          <t>Equity Scheme - Sectoral/ Thematic</t>
        </is>
      </c>
      <c r="AM248" s="19" t="n">
        <v>1.93</v>
      </c>
      <c r="AN248" s="19" t="n">
        <v>0</v>
      </c>
      <c r="AO248" s="19" t="n">
        <v>0.05</v>
      </c>
      <c r="AP248" s="19" t="n">
        <v>0.19</v>
      </c>
      <c r="AQ248" s="19" t="n">
        <v>2.17</v>
      </c>
      <c r="AR248" s="19" t="n">
        <v>1.1</v>
      </c>
      <c r="AS248" s="19" t="n">
        <v>0</v>
      </c>
      <c r="AT248" s="19" t="n">
        <v>0.05</v>
      </c>
      <c r="AU248" s="19" t="n">
        <v>0.19</v>
      </c>
      <c r="AV248" s="19" t="n">
        <v>1.34</v>
      </c>
      <c r="AW248" s="17" t="n">
        <v>5.751305147556057</v>
      </c>
      <c r="AX248" s="18" t="inlineStr">
        <is>
          <t>-106cr</t>
        </is>
      </c>
      <c r="AY248" s="26" t="n">
        <v>1.321591910854346</v>
      </c>
      <c r="AZ248" s="26" t="n">
        <v>1.453221061498769</v>
      </c>
      <c r="BA248" s="26" t="n">
        <v>0.5231694206709721</v>
      </c>
      <c r="BB248" s="28" t="n">
        <v>3</v>
      </c>
      <c r="BC248" t="n">
        <v>0</v>
      </c>
      <c r="BD248" t="n">
        <v>1</v>
      </c>
      <c r="BE248" t="n">
        <v>0</v>
      </c>
      <c r="BF248" t="n">
        <v>1</v>
      </c>
      <c r="BG248" t="n">
        <v>0</v>
      </c>
      <c r="BH248" t="n">
        <v>1</v>
      </c>
    </row>
    <row r="249">
      <c r="A249" s="19" t="inlineStr">
        <is>
          <t>ICICI Prudential India Opportunities Fund</t>
        </is>
      </c>
      <c r="B249" s="19" t="inlineStr">
        <is>
          <t>sectorial:thematic</t>
        </is>
      </c>
      <c r="C249" s="19" t="inlineStr">
        <is>
          <t>Nifty 500 TRI</t>
        </is>
      </c>
      <c r="D249" s="19" t="inlineStr">
        <is>
          <t>Very High</t>
        </is>
      </c>
      <c r="E249" s="19" t="inlineStr">
        <is>
          <t>Very High</t>
        </is>
      </c>
      <c r="F249" s="20" t="n">
        <v>46023</v>
      </c>
      <c r="G249" s="19" t="n">
        <v>37.86</v>
      </c>
      <c r="H249" s="19" t="n">
        <v>41.41</v>
      </c>
      <c r="I249" s="19" t="n">
        <v>13.794998</v>
      </c>
      <c r="J249" s="19" t="n">
        <v>6.3759697</v>
      </c>
      <c r="K249" s="19" t="n">
        <v>7.4190283</v>
      </c>
      <c r="L249" s="19" t="n">
        <v>24.49957</v>
      </c>
      <c r="M249" s="19" t="n">
        <v>7.777341</v>
      </c>
      <c r="N249" s="19" t="n">
        <v>16.722229</v>
      </c>
      <c r="O249" s="19" t="n">
        <v>28.633343</v>
      </c>
      <c r="P249" s="19" t="n">
        <v>11.844626</v>
      </c>
      <c r="Q249" s="19" t="n">
        <v>16.788717</v>
      </c>
      <c r="R249" s="19" t="n"/>
      <c r="S249" s="19" t="n"/>
      <c r="T249" s="19" t="n"/>
      <c r="U249" s="19" t="n">
        <v>22.623552</v>
      </c>
      <c r="V249" s="19" t="n">
        <v>34896.8</v>
      </c>
      <c r="W249" s="19" t="n">
        <v>1.440625335246627</v>
      </c>
      <c r="X249" s="19" t="n">
        <v>1.196539444666647</v>
      </c>
      <c r="Y249" s="19" t="n"/>
      <c r="Z249" s="19" t="n"/>
      <c r="AA249" s="19" t="n">
        <v>1.348712008603996</v>
      </c>
      <c r="AB249" s="19" t="n">
        <v>1.122484402071799</v>
      </c>
      <c r="AC249" s="19" t="n">
        <v>1.457917452814135</v>
      </c>
      <c r="AD249" s="19" t="n">
        <v>1.283885402361299</v>
      </c>
      <c r="AE249" s="19" t="n">
        <v>12.745682</v>
      </c>
      <c r="AF249" s="19" t="n"/>
      <c r="AG249" s="19" t="n">
        <v>23.2238</v>
      </c>
      <c r="AH249" s="19" t="n">
        <v>27.159992</v>
      </c>
      <c r="AI249" s="19" t="n">
        <v>15.986263</v>
      </c>
      <c r="AJ249" s="19" t="n">
        <v>15.986263</v>
      </c>
      <c r="AK249" s="19" t="n">
        <v>21.056187</v>
      </c>
      <c r="AL249" s="19" t="inlineStr">
        <is>
          <t>Equity Scheme - Sectoral/ Thematic</t>
        </is>
      </c>
      <c r="AM249" s="19" t="n">
        <v>1.42</v>
      </c>
      <c r="AN249" s="19" t="n">
        <v>0</v>
      </c>
      <c r="AO249" s="19" t="n">
        <v>0.05</v>
      </c>
      <c r="AP249" s="19" t="n">
        <v>0.1</v>
      </c>
      <c r="AQ249" s="19" t="n">
        <v>1.57</v>
      </c>
      <c r="AR249" s="19" t="n">
        <v>0.51</v>
      </c>
      <c r="AS249" s="19" t="n">
        <v>0</v>
      </c>
      <c r="AT249" s="19" t="n">
        <v>0.05</v>
      </c>
      <c r="AU249" s="19" t="n">
        <v>0.1</v>
      </c>
      <c r="AV249" s="19" t="n">
        <v>0.66</v>
      </c>
      <c r="AW249" s="17" t="n">
        <v>-2.614623690424352</v>
      </c>
      <c r="AX249" t="inlineStr">
        <is>
          <t>912cr</t>
        </is>
      </c>
      <c r="AY249" s="26" t="n">
        <v>1.775028090016073</v>
      </c>
      <c r="AZ249" s="26" t="n">
        <v>1.453221061498769</v>
      </c>
      <c r="BA249" s="26" t="n">
        <v>0.4590727057137385</v>
      </c>
      <c r="BB249" s="28" t="n">
        <v>4</v>
      </c>
      <c r="BC249" t="n">
        <v>1</v>
      </c>
      <c r="BD249" t="n">
        <v>0</v>
      </c>
      <c r="BE249" t="n">
        <v>1</v>
      </c>
      <c r="BF249" t="n">
        <v>1</v>
      </c>
      <c r="BG249" t="n">
        <v>1</v>
      </c>
      <c r="BH249" t="n">
        <v>0</v>
      </c>
    </row>
    <row r="250">
      <c r="A250" s="19" t="inlineStr">
        <is>
          <t>ICICI Prudential Infrastructure Fund</t>
        </is>
      </c>
      <c r="B250" s="19" t="inlineStr">
        <is>
          <t>sectorial:thematic</t>
        </is>
      </c>
      <c r="C250" s="19" t="inlineStr">
        <is>
          <t>BSE India Infrastructure TRI</t>
        </is>
      </c>
      <c r="D250" s="19" t="inlineStr">
        <is>
          <t>Very High</t>
        </is>
      </c>
      <c r="E250" s="19" t="inlineStr">
        <is>
          <t>Very High</t>
        </is>
      </c>
      <c r="F250" s="20" t="n">
        <v>46023</v>
      </c>
      <c r="G250" s="19" t="n">
        <v>198.85</v>
      </c>
      <c r="H250" s="19" t="n">
        <v>216.43</v>
      </c>
      <c r="I250" s="19" t="n">
        <v>7.6016703</v>
      </c>
      <c r="J250" s="19" t="n">
        <v>9.493521700000001</v>
      </c>
      <c r="K250" s="19" t="n">
        <v>-1.8918514</v>
      </c>
      <c r="L250" s="19" t="n">
        <v>26.264599</v>
      </c>
      <c r="M250" s="19" t="n">
        <v>-1.032491</v>
      </c>
      <c r="N250" s="19" t="n">
        <v>27.29709</v>
      </c>
      <c r="O250" s="19" t="n">
        <v>31.380856</v>
      </c>
      <c r="P250" s="19" t="n">
        <v>2.478054</v>
      </c>
      <c r="Q250" s="19" t="n">
        <v>28.902802</v>
      </c>
      <c r="R250" s="19" t="n">
        <v>18.156992</v>
      </c>
      <c r="S250" s="19" t="n">
        <v>2.083872</v>
      </c>
      <c r="T250" s="19" t="n">
        <v>16.07312</v>
      </c>
      <c r="U250" s="19" t="n">
        <v>17.034143</v>
      </c>
      <c r="V250" s="19" t="n">
        <v>8179.28</v>
      </c>
      <c r="W250" s="19" t="n">
        <v>1.014237382042037</v>
      </c>
      <c r="X250" s="19" t="n">
        <v>0.9264196403538604</v>
      </c>
      <c r="Y250" s="19" t="n">
        <v>0.1051755170109101</v>
      </c>
      <c r="Z250" s="19" t="n">
        <v>0.03210965308793104</v>
      </c>
      <c r="AA250" s="19" t="n">
        <v>-0.2219781996407381</v>
      </c>
      <c r="AB250" s="19" t="n">
        <v>-0.286786473380549</v>
      </c>
      <c r="AC250" s="19" t="n">
        <v>0.06685669090247091</v>
      </c>
      <c r="AD250" s="19" t="n">
        <v>0.002910413400357354</v>
      </c>
      <c r="AE250" s="19" t="n">
        <v>6.8396735</v>
      </c>
      <c r="AF250" s="19" t="n">
        <v>17.38165</v>
      </c>
      <c r="AG250" s="19" t="n">
        <v>25.409367</v>
      </c>
      <c r="AH250" s="19" t="n">
        <v>30.554544</v>
      </c>
      <c r="AI250" s="19" t="n"/>
      <c r="AJ250" s="19" t="n">
        <v>15.12513</v>
      </c>
      <c r="AK250" s="19" t="n">
        <v>15.826375</v>
      </c>
      <c r="AL250" s="19" t="inlineStr">
        <is>
          <t>Equity Scheme - Sectoral/ Thematic</t>
        </is>
      </c>
      <c r="AM250" s="19" t="n">
        <v>1.64</v>
      </c>
      <c r="AN250" s="19" t="n">
        <v>0</v>
      </c>
      <c r="AO250" s="19" t="n">
        <v>0.05</v>
      </c>
      <c r="AP250" s="19" t="n">
        <v>0.16</v>
      </c>
      <c r="AQ250" s="19" t="n">
        <v>1.85</v>
      </c>
      <c r="AR250" s="19" t="n">
        <v>0.9399999999999999</v>
      </c>
      <c r="AS250" s="19" t="n">
        <v>0</v>
      </c>
      <c r="AT250" s="19" t="n">
        <v>0.05</v>
      </c>
      <c r="AU250" s="19" t="n">
        <v>0.16</v>
      </c>
      <c r="AV250" s="19" t="n">
        <v>1.15</v>
      </c>
      <c r="AW250" s="17" t="n">
        <v>-0.2939134006905249</v>
      </c>
      <c r="AX250" t="inlineStr">
        <is>
          <t>24cr</t>
        </is>
      </c>
      <c r="AY250" s="26" t="n">
        <v>1.301912640329287</v>
      </c>
      <c r="AZ250" s="26" t="n">
        <v>1.453221061498769</v>
      </c>
      <c r="BA250" s="26" t="n">
        <v>0.5567720654326752</v>
      </c>
      <c r="BB250" s="28" t="n">
        <v>4</v>
      </c>
      <c r="BC250" t="n">
        <v>1</v>
      </c>
      <c r="BD250" t="n">
        <v>0</v>
      </c>
      <c r="BE250" t="n">
        <v>0</v>
      </c>
      <c r="BF250" t="n">
        <v>1</v>
      </c>
      <c r="BG250" t="n">
        <v>1</v>
      </c>
      <c r="BH250" t="n">
        <v>1</v>
      </c>
    </row>
    <row r="251">
      <c r="A251" s="19" t="inlineStr">
        <is>
          <t>ICICI Prudential Innovation Fund</t>
        </is>
      </c>
      <c r="B251" s="19" t="inlineStr">
        <is>
          <t>sectorial:thematic</t>
        </is>
      </c>
      <c r="C251" s="19" t="inlineStr">
        <is>
          <t>Nifty 500 TRI</t>
        </is>
      </c>
      <c r="D251" s="19" t="inlineStr">
        <is>
          <t>Very High</t>
        </is>
      </c>
      <c r="E251" s="19" t="inlineStr">
        <is>
          <t>Very High</t>
        </is>
      </c>
      <c r="F251" s="20" t="n">
        <v>46023</v>
      </c>
      <c r="G251" s="19" t="n">
        <v>19.32</v>
      </c>
      <c r="H251" s="19" t="n">
        <v>19.93</v>
      </c>
      <c r="I251" s="19" t="n">
        <v>11.715246</v>
      </c>
      <c r="J251" s="19" t="n">
        <v>4.296217700000001</v>
      </c>
      <c r="K251" s="19" t="n">
        <v>7.4190283</v>
      </c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>
        <v>29.319832</v>
      </c>
      <c r="V251" s="19" t="n">
        <v>7556.85</v>
      </c>
      <c r="W251" s="19" t="n">
        <v>0.9976629291151455</v>
      </c>
      <c r="X251" s="19" t="n">
        <v>0.6935872587697338</v>
      </c>
      <c r="Y251" s="19" t="n"/>
      <c r="Z251" s="19" t="n"/>
      <c r="AA251" s="19" t="n"/>
      <c r="AB251" s="19" t="n"/>
      <c r="AC251" s="19" t="n"/>
      <c r="AD251" s="19" t="n"/>
      <c r="AE251" s="19" t="n">
        <v>10.463121</v>
      </c>
      <c r="AF251" s="19" t="n"/>
      <c r="AG251" s="19" t="n"/>
      <c r="AH251" s="19" t="n"/>
      <c r="AI251" s="19" t="n">
        <v>19.540335</v>
      </c>
      <c r="AJ251" s="19" t="n">
        <v>19.540335</v>
      </c>
      <c r="AK251" s="19" t="n">
        <v>27.82973</v>
      </c>
      <c r="AL251" s="19" t="inlineStr">
        <is>
          <t>Equity Scheme - Sectoral/ Thematic</t>
        </is>
      </c>
      <c r="AM251" s="19" t="n">
        <v>1.64</v>
      </c>
      <c r="AN251" s="19" t="n">
        <v>0</v>
      </c>
      <c r="AO251" s="19" t="n">
        <v>0.05</v>
      </c>
      <c r="AP251" s="19" t="n">
        <v>0.11</v>
      </c>
      <c r="AQ251" s="19" t="n">
        <v>1.8</v>
      </c>
      <c r="AR251" s="19" t="n">
        <v>0.58</v>
      </c>
      <c r="AS251" s="19" t="n">
        <v>0</v>
      </c>
      <c r="AT251" s="19" t="n">
        <v>0.05</v>
      </c>
      <c r="AU251" s="19" t="n">
        <v>0.11</v>
      </c>
      <c r="AV251" s="19" t="n">
        <v>0.74</v>
      </c>
      <c r="AW251" s="17" t="n">
        <v>-0.3310903352587445</v>
      </c>
      <c r="AX251" t="inlineStr">
        <is>
          <t>25cr</t>
        </is>
      </c>
      <c r="AY251" s="26" t="n">
        <v>1.295949834805895</v>
      </c>
      <c r="AZ251" s="26" t="n">
        <v>1.453221061498769</v>
      </c>
      <c r="BA251" s="26" t="n">
        <v>0.505521037994224</v>
      </c>
      <c r="BB251" s="28" t="n">
        <v>4</v>
      </c>
      <c r="BC251" t="n">
        <v>1</v>
      </c>
      <c r="BD251" t="n">
        <v>0</v>
      </c>
      <c r="BE251" t="n">
        <v>1</v>
      </c>
      <c r="BF251" t="n">
        <v>1</v>
      </c>
      <c r="BG251" t="n">
        <v>0</v>
      </c>
      <c r="BH251" t="n">
        <v>1</v>
      </c>
    </row>
    <row r="252">
      <c r="A252" s="19" t="inlineStr">
        <is>
          <t>ICICI Prudential Manufacturing Fund</t>
        </is>
      </c>
      <c r="B252" s="19" t="inlineStr">
        <is>
          <t>sectorial:thematic</t>
        </is>
      </c>
      <c r="C252" s="19" t="inlineStr">
        <is>
          <t>Nifty India Manufacturing TRI</t>
        </is>
      </c>
      <c r="D252" s="19" t="inlineStr">
        <is>
          <t>Very High</t>
        </is>
      </c>
      <c r="E252" s="19" t="inlineStr">
        <is>
          <t>Very High</t>
        </is>
      </c>
      <c r="F252" s="20" t="n">
        <v>46023</v>
      </c>
      <c r="G252" s="19" t="n">
        <v>36.05</v>
      </c>
      <c r="H252" s="19" t="n">
        <v>39</v>
      </c>
      <c r="I252" s="19" t="n">
        <v>10.419026</v>
      </c>
      <c r="J252" s="19" t="n">
        <v>-1.631945999999999</v>
      </c>
      <c r="K252" s="19" t="n">
        <v>12.050972</v>
      </c>
      <c r="L252" s="19" t="n">
        <v>26.43201</v>
      </c>
      <c r="M252" s="19" t="n">
        <v>2.339707999999998</v>
      </c>
      <c r="N252" s="19" t="n">
        <v>24.092302</v>
      </c>
      <c r="O252" s="19" t="n">
        <v>26.17022</v>
      </c>
      <c r="P252" s="19" t="n">
        <v>3.788449</v>
      </c>
      <c r="Q252" s="19" t="n">
        <v>22.381771</v>
      </c>
      <c r="R252" s="19" t="n"/>
      <c r="S252" s="19" t="n"/>
      <c r="T252" s="19" t="n"/>
      <c r="U252" s="19" t="n">
        <v>20.71191</v>
      </c>
      <c r="V252" s="19" t="n">
        <v>6568.1</v>
      </c>
      <c r="W252" s="19" t="n">
        <v>-0.3817763040022555</v>
      </c>
      <c r="X252" s="19" t="n">
        <v>-0.6415909142503776</v>
      </c>
      <c r="Y252" s="19" t="n"/>
      <c r="Z252" s="19" t="n"/>
      <c r="AA252" s="19" t="n">
        <v>0.4423181927664755</v>
      </c>
      <c r="AB252" s="19" t="n">
        <v>0.1910581251650977</v>
      </c>
      <c r="AC252" s="19" t="n">
        <v>0.6251597462433375</v>
      </c>
      <c r="AD252" s="19" t="n">
        <v>0.434608461343064</v>
      </c>
      <c r="AE252" s="19" t="n">
        <v>9.275537999999999</v>
      </c>
      <c r="AF252" s="19" t="n"/>
      <c r="AG252" s="19" t="n">
        <v>25.121529</v>
      </c>
      <c r="AH252" s="19" t="n">
        <v>25.01195</v>
      </c>
      <c r="AI252" s="19" t="n">
        <v>18.749842</v>
      </c>
      <c r="AJ252" s="19" t="n">
        <v>18.749842</v>
      </c>
      <c r="AK252" s="19" t="n">
        <v>19.405834</v>
      </c>
      <c r="AL252" s="19" t="inlineStr">
        <is>
          <t>Equity Scheme - Sectoral/ Thematic</t>
        </is>
      </c>
      <c r="AM252" s="19" t="n">
        <v>1.67</v>
      </c>
      <c r="AN252" s="19" t="n">
        <v>0</v>
      </c>
      <c r="AO252" s="19" t="n">
        <v>0.05</v>
      </c>
      <c r="AP252" s="19" t="n">
        <v>0.12</v>
      </c>
      <c r="AQ252" s="19" t="n">
        <v>1.84</v>
      </c>
      <c r="AR252" s="19" t="n">
        <v>0.62</v>
      </c>
      <c r="AS252" s="19" t="n">
        <v>0</v>
      </c>
      <c r="AT252" s="19" t="n">
        <v>0.05</v>
      </c>
      <c r="AU252" s="19" t="n">
        <v>0.12</v>
      </c>
      <c r="AV252" s="19" t="n">
        <v>0.79</v>
      </c>
      <c r="AW252" s="17" t="n">
        <v>1.182381510634732</v>
      </c>
      <c r="AX252" s="18" t="inlineStr">
        <is>
          <t>-78cr</t>
        </is>
      </c>
      <c r="AY252" s="26" t="n">
        <v>0.966559169314705</v>
      </c>
      <c r="AZ252" s="26" t="n">
        <v>1.453221061498769</v>
      </c>
      <c r="BA252" s="26" t="n">
        <v>0.5506713667165675</v>
      </c>
      <c r="BB252" s="28" t="n">
        <v>4</v>
      </c>
      <c r="BC252" t="n">
        <v>1</v>
      </c>
      <c r="BD252" t="n">
        <v>1</v>
      </c>
      <c r="BE252" t="n">
        <v>1</v>
      </c>
      <c r="BF252" t="n">
        <v>0</v>
      </c>
      <c r="BG252" t="n">
        <v>0</v>
      </c>
      <c r="BH252" t="n">
        <v>1</v>
      </c>
    </row>
    <row r="253">
      <c r="A253" s="19" t="inlineStr">
        <is>
          <t>ICICI Prudential Pharma Healthcare and Diagnostics (P.H.D) Fund</t>
        </is>
      </c>
      <c r="B253" s="19" t="inlineStr">
        <is>
          <t>sectorial:thematic</t>
        </is>
      </c>
      <c r="C253" s="19" t="inlineStr">
        <is>
          <t>BSE Healthcare TRI</t>
        </is>
      </c>
      <c r="D253" s="19" t="inlineStr">
        <is>
          <t>Very High</t>
        </is>
      </c>
      <c r="E253" s="19" t="inlineStr">
        <is>
          <t>Very High</t>
        </is>
      </c>
      <c r="F253" s="20" t="n">
        <v>46023</v>
      </c>
      <c r="G253" s="19" t="n">
        <v>39.68</v>
      </c>
      <c r="H253" s="19" t="n">
        <v>42.91</v>
      </c>
      <c r="I253" s="19" t="n">
        <v>-0.6252895000000001</v>
      </c>
      <c r="J253" s="19" t="n">
        <v>2.6525055</v>
      </c>
      <c r="K253" s="19" t="n">
        <v>-3.277795</v>
      </c>
      <c r="L253" s="19" t="n">
        <v>28.439793</v>
      </c>
      <c r="M253" s="19" t="n">
        <v>3.928549</v>
      </c>
      <c r="N253" s="19" t="n">
        <v>24.511244</v>
      </c>
      <c r="O253" s="19" t="n">
        <v>18.391178</v>
      </c>
      <c r="P253" s="19" t="n">
        <v>2.809775</v>
      </c>
      <c r="Q253" s="19" t="n">
        <v>15.581403</v>
      </c>
      <c r="R253" s="19" t="n"/>
      <c r="S253" s="19" t="n"/>
      <c r="T253" s="19" t="n"/>
      <c r="U253" s="19" t="n">
        <v>21.50771</v>
      </c>
      <c r="V253" s="19" t="n">
        <v>6434.14</v>
      </c>
      <c r="W253" s="19" t="n">
        <v>0.5932783778466016</v>
      </c>
      <c r="X253" s="19" t="n">
        <v>0.4010395241821637</v>
      </c>
      <c r="Y253" s="19" t="n"/>
      <c r="Z253" s="19" t="n"/>
      <c r="AA253" s="19" t="n">
        <v>0.7544904706996709</v>
      </c>
      <c r="AB253" s="19" t="n">
        <v>0.5423401800214741</v>
      </c>
      <c r="AC253" s="19" t="n">
        <v>0.5345177605125313</v>
      </c>
      <c r="AD253" s="19" t="n">
        <v>0.3296395225102058</v>
      </c>
      <c r="AE253" s="19" t="n">
        <v>-1.4651105</v>
      </c>
      <c r="AF253" s="19" t="n"/>
      <c r="AG253" s="19" t="n">
        <v>27.358744</v>
      </c>
      <c r="AH253" s="19" t="n">
        <v>17.366308</v>
      </c>
      <c r="AI253" s="19" t="n">
        <v>17.17741</v>
      </c>
      <c r="AJ253" s="19" t="n">
        <v>17.17741</v>
      </c>
      <c r="AK253" s="19" t="n">
        <v>20.242538</v>
      </c>
      <c r="AL253" s="19" t="inlineStr">
        <is>
          <t>Equity Scheme - Sectoral/ Thematic</t>
        </is>
      </c>
      <c r="AM253" s="19" t="n">
        <v>1.66</v>
      </c>
      <c r="AN253" s="19" t="n">
        <v>0</v>
      </c>
      <c r="AO253" s="19" t="n">
        <v>0.05</v>
      </c>
      <c r="AP253" s="19" t="n">
        <v>0.15</v>
      </c>
      <c r="AQ253" s="19" t="n">
        <v>1.86</v>
      </c>
      <c r="AR253" s="19" t="n">
        <v>0.82</v>
      </c>
      <c r="AS253" s="19" t="n">
        <v>0</v>
      </c>
      <c r="AT253" s="19" t="n">
        <v>0.05</v>
      </c>
      <c r="AU253" s="19" t="n">
        <v>0.15</v>
      </c>
      <c r="AV253" s="19" t="n">
        <v>1.02</v>
      </c>
      <c r="AW253" s="17" t="n">
        <v>-0.2185218226522954</v>
      </c>
      <c r="AX253" t="inlineStr">
        <is>
          <t>14cr</t>
        </is>
      </c>
      <c r="AY253" s="26" t="n">
        <v>0.9919844769406361</v>
      </c>
      <c r="AZ253" s="26" t="n">
        <v>1.453221061498769</v>
      </c>
      <c r="BA253" s="26" t="n">
        <v>0.5868442056519617</v>
      </c>
      <c r="BB253" s="28" t="n">
        <v>2</v>
      </c>
      <c r="BC253" t="n">
        <v>0</v>
      </c>
      <c r="BD253" t="n">
        <v>0</v>
      </c>
      <c r="BE253" t="n">
        <v>0</v>
      </c>
      <c r="BF253" t="n">
        <v>1</v>
      </c>
      <c r="BG253" t="n">
        <v>0</v>
      </c>
      <c r="BH253" t="n">
        <v>1</v>
      </c>
    </row>
    <row r="254">
      <c r="A254" s="19" t="inlineStr">
        <is>
          <t>ICICI Prudential PSU Equity Fund</t>
        </is>
      </c>
      <c r="B254" s="19" t="inlineStr">
        <is>
          <t>sectorial:thematic</t>
        </is>
      </c>
      <c r="C254" s="19" t="inlineStr">
        <is>
          <t>BSE PSU TRI</t>
        </is>
      </c>
      <c r="D254" s="19" t="inlineStr">
        <is>
          <t>Very High</t>
        </is>
      </c>
      <c r="E254" s="19" t="inlineStr">
        <is>
          <t>Very High</t>
        </is>
      </c>
      <c r="F254" s="20" t="n">
        <v>46023</v>
      </c>
      <c r="G254" s="19" t="n">
        <v>21.39</v>
      </c>
      <c r="H254" s="19" t="n">
        <v>22.39</v>
      </c>
      <c r="I254" s="19" t="n">
        <v>8.742107000000001</v>
      </c>
      <c r="J254" s="19" t="n">
        <v>-3.427413</v>
      </c>
      <c r="K254" s="19" t="n">
        <v>12.16952</v>
      </c>
      <c r="L254" s="19" t="n">
        <v>28.542683</v>
      </c>
      <c r="M254" s="19" t="n">
        <v>-2.592775</v>
      </c>
      <c r="N254" s="19" t="n">
        <v>31.135458</v>
      </c>
      <c r="O254" s="19" t="n"/>
      <c r="P254" s="19" t="n"/>
      <c r="Q254" s="19" t="n"/>
      <c r="R254" s="19" t="n"/>
      <c r="S254" s="19" t="n"/>
      <c r="T254" s="19" t="n"/>
      <c r="U254" s="19" t="n">
        <v>27.601942</v>
      </c>
      <c r="V254" s="19" t="n">
        <v>1909.91</v>
      </c>
      <c r="W254" s="19" t="n">
        <v>-0.7395621232003409</v>
      </c>
      <c r="X254" s="19" t="n">
        <v>-0.9763429519199625</v>
      </c>
      <c r="Y254" s="19" t="n"/>
      <c r="Z254" s="19" t="n"/>
      <c r="AA254" s="19" t="n">
        <v>-0.5024153342165515</v>
      </c>
      <c r="AB254" s="19" t="n">
        <v>-0.7392706921149319</v>
      </c>
      <c r="AC254" s="19" t="n"/>
      <c r="AD254" s="19" t="n"/>
      <c r="AE254" s="19" t="n">
        <v>7.4334507</v>
      </c>
      <c r="AF254" s="19" t="n"/>
      <c r="AG254" s="19" t="n">
        <v>26.805706</v>
      </c>
      <c r="AH254" s="19" t="n"/>
      <c r="AI254" s="19" t="n">
        <v>31.150871</v>
      </c>
      <c r="AJ254" s="19" t="n">
        <v>31.150871</v>
      </c>
      <c r="AK254" s="19" t="n">
        <v>25.850985</v>
      </c>
      <c r="AL254" s="19" t="inlineStr">
        <is>
          <t>Equity Scheme - Sectoral/ Thematic</t>
        </is>
      </c>
      <c r="AM254" s="19" t="n">
        <v>1.91</v>
      </c>
      <c r="AN254" s="19" t="n">
        <v>0</v>
      </c>
      <c r="AO254" s="19" t="n">
        <v>0.05</v>
      </c>
      <c r="AP254" s="19" t="n">
        <v>0.13</v>
      </c>
      <c r="AQ254" s="19" t="n">
        <v>2.09</v>
      </c>
      <c r="AR254" s="19" t="n">
        <v>0.68</v>
      </c>
      <c r="AS254" s="19" t="n">
        <v>0</v>
      </c>
      <c r="AT254" s="19" t="n">
        <v>0.05</v>
      </c>
      <c r="AU254" s="19" t="n">
        <v>0.13</v>
      </c>
      <c r="AV254" s="19" t="n">
        <v>0.86</v>
      </c>
      <c r="AW254" s="17" t="n">
        <v>1.013136744663356</v>
      </c>
      <c r="AX254" s="18" t="inlineStr">
        <is>
          <t>-19cr</t>
        </is>
      </c>
      <c r="AY254" s="26" t="n">
        <v>1.38017961960108</v>
      </c>
      <c r="AZ254" s="26" t="n">
        <v>1.453221061498769</v>
      </c>
      <c r="BA254" s="26" t="n">
        <v>0.6111613882110556</v>
      </c>
      <c r="BB254" s="28" t="n">
        <v>4</v>
      </c>
      <c r="BC254" t="n">
        <v>1</v>
      </c>
      <c r="BD254" t="n">
        <v>1</v>
      </c>
      <c r="BE254" t="n">
        <v>1</v>
      </c>
      <c r="BF254" t="n">
        <v>0</v>
      </c>
      <c r="BG254" t="n">
        <v>0</v>
      </c>
      <c r="BH254" t="n">
        <v>1</v>
      </c>
    </row>
    <row r="255">
      <c r="A255" s="19" t="inlineStr">
        <is>
          <t>ICICI Prudential Quality Fund</t>
        </is>
      </c>
      <c r="B255" s="19" t="inlineStr">
        <is>
          <t>sectorial:thematic</t>
        </is>
      </c>
      <c r="C255" s="19" t="inlineStr">
        <is>
          <t>Nifty 200 Quality 30 TRI</t>
        </is>
      </c>
      <c r="D255" s="19" t="inlineStr">
        <is>
          <t>Very High</t>
        </is>
      </c>
      <c r="E255" s="19" t="inlineStr">
        <is>
          <t>Very High</t>
        </is>
      </c>
      <c r="F255" s="20" t="n">
        <v>46023</v>
      </c>
      <c r="G255" s="19" t="n">
        <v>10.57</v>
      </c>
      <c r="H255" s="19" t="n">
        <v>10.65</v>
      </c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>
        <v>2310.11</v>
      </c>
      <c r="W255" s="19" t="n"/>
      <c r="X255" s="19" t="n"/>
      <c r="Y255" s="19" t="n"/>
      <c r="Z255" s="19" t="n"/>
      <c r="AA255" s="19" t="n"/>
      <c r="AB255" s="19" t="n"/>
      <c r="AC255" s="19" t="n"/>
      <c r="AD255" s="19" t="n"/>
      <c r="AE255" s="19" t="n"/>
      <c r="AF255" s="19" t="n"/>
      <c r="AG255" s="19" t="n"/>
      <c r="AH255" s="19" t="n"/>
      <c r="AI255" s="19" t="n"/>
      <c r="AJ255" s="19" t="n"/>
      <c r="AK255" s="19" t="n"/>
      <c r="AL255" s="19" t="inlineStr">
        <is>
          <t>Equity Scheme - Sectoral/ Thematic</t>
        </is>
      </c>
      <c r="AM255" s="19" t="n">
        <v>1.86</v>
      </c>
      <c r="AN255" s="19" t="n">
        <v>0</v>
      </c>
      <c r="AO255" s="19" t="n">
        <v>0.05</v>
      </c>
      <c r="AP255" s="19" t="n">
        <v>0.13</v>
      </c>
      <c r="AQ255" s="19" t="n">
        <v>2.04</v>
      </c>
      <c r="AR255" s="19" t="n">
        <v>0.7</v>
      </c>
      <c r="AS255" s="19" t="n">
        <v>0</v>
      </c>
      <c r="AT255" s="19" t="n">
        <v>0.05</v>
      </c>
      <c r="AU255" s="19" t="n">
        <v>0.13</v>
      </c>
      <c r="AV255" s="19" t="n">
        <v>0.88</v>
      </c>
      <c r="AW255" s="17" t="n">
        <v>0.7285367363458851</v>
      </c>
      <c r="AX255" s="18" t="inlineStr">
        <is>
          <t>-17cr</t>
        </is>
      </c>
      <c r="AY255" s="26" t="n">
        <v>1.641672613019829</v>
      </c>
      <c r="AZ255" s="26" t="n">
        <v>1.453221061498769</v>
      </c>
      <c r="BA255" s="26" t="n">
        <v>0.4513902490920175</v>
      </c>
      <c r="BB255" s="28" t="n">
        <v>2</v>
      </c>
      <c r="BC255" t="n">
        <v>0</v>
      </c>
      <c r="BD255" t="n">
        <v>1</v>
      </c>
      <c r="BE255" t="n">
        <v>1</v>
      </c>
      <c r="BF255" t="n">
        <v>0</v>
      </c>
      <c r="BG255" t="n">
        <v>0</v>
      </c>
      <c r="BH255" t="n">
        <v>0</v>
      </c>
    </row>
    <row r="256">
      <c r="A256" s="19" t="inlineStr">
        <is>
          <t>ICICI Prudential Quant Fund</t>
        </is>
      </c>
      <c r="B256" s="19" t="inlineStr">
        <is>
          <t>sectorial:thematic</t>
        </is>
      </c>
      <c r="C256" s="19" t="inlineStr">
        <is>
          <t>BSE 200 TRI</t>
        </is>
      </c>
      <c r="D256" s="19" t="inlineStr">
        <is>
          <t>Very High</t>
        </is>
      </c>
      <c r="E256" s="19" t="inlineStr">
        <is>
          <t>Very High</t>
        </is>
      </c>
      <c r="F256" s="20" t="n">
        <v>46023</v>
      </c>
      <c r="G256" s="19" t="n">
        <v>23.34</v>
      </c>
      <c r="H256" s="19" t="n">
        <v>24.13</v>
      </c>
      <c r="I256" s="19" t="n">
        <v>8.303411499999999</v>
      </c>
      <c r="J256" s="19" t="n">
        <v>-0.7817905000000014</v>
      </c>
      <c r="K256" s="19" t="n">
        <v>9.085202000000001</v>
      </c>
      <c r="L256" s="19" t="n">
        <v>17.830114</v>
      </c>
      <c r="M256" s="19" t="n">
        <v>1.792288999999997</v>
      </c>
      <c r="N256" s="19" t="n">
        <v>16.037825</v>
      </c>
      <c r="O256" s="19" t="n">
        <v>19.181684</v>
      </c>
      <c r="P256" s="19" t="n">
        <v>2.91817</v>
      </c>
      <c r="Q256" s="19" t="n">
        <v>16.263514</v>
      </c>
      <c r="R256" s="19" t="n"/>
      <c r="S256" s="19" t="n"/>
      <c r="T256" s="19" t="n"/>
      <c r="U256" s="19" t="n">
        <v>19.014566</v>
      </c>
      <c r="V256" s="19" t="n">
        <v>166.77</v>
      </c>
      <c r="W256" s="19" t="n">
        <v>-0.2441649825663046</v>
      </c>
      <c r="X256" s="19" t="n">
        <v>-0.4286487037942993</v>
      </c>
      <c r="Y256" s="19" t="n"/>
      <c r="Z256" s="19" t="n"/>
      <c r="AA256" s="19" t="n">
        <v>0.3219740173256442</v>
      </c>
      <c r="AB256" s="19" t="n">
        <v>0.1690995711966948</v>
      </c>
      <c r="AC256" s="19" t="n">
        <v>0.4318529166578899</v>
      </c>
      <c r="AD256" s="19" t="n">
        <v>0.3106193796569408</v>
      </c>
      <c r="AE256" s="19" t="n">
        <v>7.607192</v>
      </c>
      <c r="AF256" s="19" t="n"/>
      <c r="AG256" s="19" t="n">
        <v>17.091043</v>
      </c>
      <c r="AH256" s="19" t="n">
        <v>18.391306</v>
      </c>
      <c r="AI256" s="19" t="n">
        <v>16.898758</v>
      </c>
      <c r="AJ256" s="19" t="n">
        <v>16.898758</v>
      </c>
      <c r="AK256" s="19" t="n">
        <v>18.23424</v>
      </c>
      <c r="AL256" s="19" t="inlineStr">
        <is>
          <t>Equity Scheme - Sectoral/ Thematic</t>
        </is>
      </c>
      <c r="AM256" s="19" t="n">
        <v>2.23</v>
      </c>
      <c r="AN256" s="19" t="n">
        <v>0</v>
      </c>
      <c r="AO256" s="19" t="n">
        <v>0.05</v>
      </c>
      <c r="AP256" s="19" t="n">
        <v>0.26</v>
      </c>
      <c r="AQ256" s="19" t="n">
        <v>2.54</v>
      </c>
      <c r="AR256" s="19" t="n">
        <v>1.5</v>
      </c>
      <c r="AS256" s="19" t="n">
        <v>0</v>
      </c>
      <c r="AT256" s="19" t="n">
        <v>0.05</v>
      </c>
      <c r="AU256" s="19" t="n">
        <v>0.26</v>
      </c>
      <c r="AV256" s="19" t="n">
        <v>1.81</v>
      </c>
      <c r="AW256" s="17" t="n">
        <v>-1.894825208370808</v>
      </c>
      <c r="AX256" t="inlineStr">
        <is>
          <t>3cr</t>
        </is>
      </c>
      <c r="AY256" s="26" t="n">
        <v>1.07295722501455</v>
      </c>
      <c r="AZ256" s="26" t="n">
        <v>1.453221061498769</v>
      </c>
      <c r="BA256" s="26" t="n">
        <v>0.4334004498003799</v>
      </c>
      <c r="BB256" s="28" t="n">
        <v>2</v>
      </c>
      <c r="BC256" t="n">
        <v>1</v>
      </c>
      <c r="BD256" t="n">
        <v>0</v>
      </c>
      <c r="BE256" t="n">
        <v>0</v>
      </c>
      <c r="BF256" t="n">
        <v>0</v>
      </c>
      <c r="BG256" t="n">
        <v>0</v>
      </c>
      <c r="BH256" t="n">
        <v>1</v>
      </c>
    </row>
    <row r="257">
      <c r="A257" s="19" t="inlineStr">
        <is>
          <t>ICICI Prudential Rural Opportunities Fund</t>
        </is>
      </c>
      <c r="B257" s="19" t="inlineStr">
        <is>
          <t>sectorial:thematic</t>
        </is>
      </c>
      <c r="C257" s="19" t="inlineStr">
        <is>
          <t>Nifty Rural TRI</t>
        </is>
      </c>
      <c r="D257" s="19" t="inlineStr">
        <is>
          <t>Very High</t>
        </is>
      </c>
      <c r="E257" s="19" t="inlineStr">
        <is>
          <t>Very High</t>
        </is>
      </c>
      <c r="F257" s="20" t="n">
        <v>46023</v>
      </c>
      <c r="G257" s="19" t="n">
        <v>11.67</v>
      </c>
      <c r="H257" s="19" t="n">
        <v>11.8</v>
      </c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>
        <v>2288.08</v>
      </c>
      <c r="W257" s="19" t="n"/>
      <c r="X257" s="19" t="n"/>
      <c r="Y257" s="19" t="n"/>
      <c r="Z257" s="19" t="n"/>
      <c r="AA257" s="19" t="n"/>
      <c r="AB257" s="19" t="n"/>
      <c r="AC257" s="19" t="n"/>
      <c r="AD257" s="19" t="n"/>
      <c r="AE257" s="19" t="n"/>
      <c r="AF257" s="19" t="n"/>
      <c r="AG257" s="19" t="n"/>
      <c r="AH257" s="19" t="n"/>
      <c r="AI257" s="19" t="n"/>
      <c r="AJ257" s="19" t="n"/>
      <c r="AK257" s="19" t="n"/>
      <c r="AL257" s="19" t="inlineStr">
        <is>
          <t>Equity Scheme - Sectoral/ Thematic</t>
        </is>
      </c>
      <c r="AM257" s="19" t="n">
        <v>1.87</v>
      </c>
      <c r="AN257" s="19" t="n">
        <v>0</v>
      </c>
      <c r="AO257" s="19" t="n">
        <v>0.05</v>
      </c>
      <c r="AP257" s="19" t="n">
        <v>0.13</v>
      </c>
      <c r="AQ257" s="19" t="n">
        <v>2.05</v>
      </c>
      <c r="AR257" s="19" t="n">
        <v>0.75</v>
      </c>
      <c r="AS257" s="19" t="n">
        <v>0</v>
      </c>
      <c r="AT257" s="19" t="n">
        <v>0.05</v>
      </c>
      <c r="AU257" s="19" t="n">
        <v>0.13</v>
      </c>
      <c r="AV257" s="19" t="n">
        <v>0.93</v>
      </c>
      <c r="AW257" s="17" t="n">
        <v>-2.720184608929748</v>
      </c>
      <c r="AX257" t="inlineStr">
        <is>
          <t>62cr</t>
        </is>
      </c>
      <c r="AY257" s="26" t="n">
        <v>0.9094440827255663</v>
      </c>
      <c r="AZ257" s="26" t="n">
        <v>1.453221061498769</v>
      </c>
      <c r="BA257" s="26" t="n">
        <v>0.4132674363218668</v>
      </c>
      <c r="BB257" s="28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1</v>
      </c>
    </row>
    <row r="258">
      <c r="A258" s="19" t="inlineStr">
        <is>
          <t>ICICI Prudential Technology Fund</t>
        </is>
      </c>
      <c r="B258" s="19" t="inlineStr">
        <is>
          <t>sectorial:thematic</t>
        </is>
      </c>
      <c r="C258" s="19" t="inlineStr">
        <is>
          <t>BSE Teck TRI</t>
        </is>
      </c>
      <c r="D258" s="19" t="inlineStr">
        <is>
          <t>Very High</t>
        </is>
      </c>
      <c r="E258" s="19" t="inlineStr">
        <is>
          <t>Very High</t>
        </is>
      </c>
      <c r="F258" s="20" t="n">
        <v>46023</v>
      </c>
      <c r="G258" s="19" t="n">
        <v>210.29</v>
      </c>
      <c r="H258" s="19" t="n">
        <v>234.6</v>
      </c>
      <c r="I258" s="19" t="n">
        <v>-1.0168347</v>
      </c>
      <c r="J258" s="19" t="n">
        <v>1.6334713</v>
      </c>
      <c r="K258" s="19" t="n">
        <v>-2.650306</v>
      </c>
      <c r="L258" s="19" t="n">
        <v>17.242527</v>
      </c>
      <c r="M258" s="19" t="n">
        <v>3.608053999999999</v>
      </c>
      <c r="N258" s="19" t="n">
        <v>13.634473</v>
      </c>
      <c r="O258" s="19" t="n">
        <v>17.179613</v>
      </c>
      <c r="P258" s="19" t="n">
        <v>4.517168999999999</v>
      </c>
      <c r="Q258" s="19" t="n">
        <v>12.662444</v>
      </c>
      <c r="R258" s="19" t="n">
        <v>18.677517</v>
      </c>
      <c r="S258" s="19" t="n">
        <v>4.724938000000002</v>
      </c>
      <c r="T258" s="19" t="n">
        <v>13.952579</v>
      </c>
      <c r="U258" s="19" t="n">
        <v>21.09681</v>
      </c>
      <c r="V258" s="19" t="n">
        <v>15974.3</v>
      </c>
      <c r="W258" s="19" t="n">
        <v>0.3753848488189263</v>
      </c>
      <c r="X258" s="19" t="n">
        <v>0.1905917151369491</v>
      </c>
      <c r="Y258" s="19" t="n">
        <v>0.6516352514346886</v>
      </c>
      <c r="Z258" s="19" t="n">
        <v>0.5077619803888008</v>
      </c>
      <c r="AA258" s="19" t="n">
        <v>0.9035988037101047</v>
      </c>
      <c r="AB258" s="19" t="n">
        <v>0.664317762905851</v>
      </c>
      <c r="AC258" s="19" t="n">
        <v>0.8996053967274312</v>
      </c>
      <c r="AD258" s="19" t="n">
        <v>0.6744494045745825</v>
      </c>
      <c r="AE258" s="19" t="n">
        <v>-1.756599</v>
      </c>
      <c r="AF258" s="19" t="n">
        <v>17.64861</v>
      </c>
      <c r="AG258" s="19" t="n">
        <v>16.32555</v>
      </c>
      <c r="AH258" s="19" t="n">
        <v>16.07919</v>
      </c>
      <c r="AI258" s="19" t="n"/>
      <c r="AJ258" s="19" t="n">
        <v>15.901679</v>
      </c>
      <c r="AK258" s="19" t="n">
        <v>12.505622</v>
      </c>
      <c r="AL258" s="19" t="inlineStr">
        <is>
          <t>Equity Scheme - Sectoral/ Thematic</t>
        </is>
      </c>
      <c r="AM258" s="19" t="n">
        <v>1.55</v>
      </c>
      <c r="AN258" s="19" t="n">
        <v>0</v>
      </c>
      <c r="AO258" s="19" t="n">
        <v>0.05</v>
      </c>
      <c r="AP258" s="19" t="n">
        <v>0.14</v>
      </c>
      <c r="AQ258" s="19" t="n">
        <v>1.74</v>
      </c>
      <c r="AR258" s="19" t="n">
        <v>0.8</v>
      </c>
      <c r="AS258" s="19" t="n">
        <v>0</v>
      </c>
      <c r="AT258" s="19" t="n">
        <v>0.05</v>
      </c>
      <c r="AU258" s="19" t="n">
        <v>0.14</v>
      </c>
      <c r="AV258" s="19" t="n">
        <v>0.99</v>
      </c>
      <c r="AW258" s="17" t="n">
        <v>-2.189078707674194</v>
      </c>
      <c r="AX258" t="inlineStr">
        <is>
          <t>350cr</t>
        </is>
      </c>
      <c r="AY258" s="26" t="n">
        <v>3.114864166950746</v>
      </c>
      <c r="AZ258" s="26" t="n">
        <v>1.453221061498769</v>
      </c>
      <c r="BA258" s="26" t="n">
        <v>0.7360044966427043</v>
      </c>
      <c r="BB258" s="28" t="n">
        <v>1</v>
      </c>
      <c r="BC258" t="n">
        <v>0</v>
      </c>
      <c r="BD258" t="n">
        <v>0</v>
      </c>
      <c r="BE258" t="n">
        <v>0</v>
      </c>
      <c r="BF258" t="n">
        <v>1</v>
      </c>
      <c r="BG258" t="n">
        <v>0</v>
      </c>
      <c r="BH258" t="n">
        <v>0</v>
      </c>
    </row>
    <row r="259">
      <c r="A259" s="19" t="inlineStr">
        <is>
          <t>Invesco India Business Cycle Fund</t>
        </is>
      </c>
      <c r="B259" s="19" t="inlineStr">
        <is>
          <t>sectorial:thematic</t>
        </is>
      </c>
      <c r="C259" s="19" t="inlineStr">
        <is>
          <t>Nifty 500 TRI</t>
        </is>
      </c>
      <c r="D259" s="19" t="inlineStr">
        <is>
          <t>Very High</t>
        </is>
      </c>
      <c r="E259" s="19" t="inlineStr">
        <is>
          <t>Very High</t>
        </is>
      </c>
      <c r="F259" s="20" t="n">
        <v>46023</v>
      </c>
      <c r="G259" s="19" t="n">
        <v>12.74</v>
      </c>
      <c r="H259" s="19" t="n">
        <v>12.92</v>
      </c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>
        <v>952.25</v>
      </c>
      <c r="W259" s="19" t="n"/>
      <c r="X259" s="19" t="n"/>
      <c r="Y259" s="19" t="n"/>
      <c r="Z259" s="19" t="n"/>
      <c r="AA259" s="19" t="n"/>
      <c r="AB259" s="19" t="n"/>
      <c r="AC259" s="19" t="n"/>
      <c r="AD259" s="19" t="n"/>
      <c r="AE259" s="19" t="n"/>
      <c r="AF259" s="19" t="n"/>
      <c r="AG259" s="19" t="n"/>
      <c r="AH259" s="19" t="n"/>
      <c r="AI259" s="19" t="n"/>
      <c r="AJ259" s="19" t="n"/>
      <c r="AK259" s="19" t="n"/>
      <c r="AL259" s="19" t="inlineStr">
        <is>
          <t>Equity Scheme - Sectoral/ Thematic</t>
        </is>
      </c>
      <c r="AM259" s="19" t="n">
        <v>2.1</v>
      </c>
      <c r="AN259" s="19" t="n">
        <v>0</v>
      </c>
      <c r="AO259" s="19" t="n">
        <v>0.05</v>
      </c>
      <c r="AP259" s="19" t="n">
        <v>0.08</v>
      </c>
      <c r="AQ259" s="19" t="n">
        <v>2.23</v>
      </c>
      <c r="AR259" s="19" t="n">
        <v>0.46</v>
      </c>
      <c r="AS259" s="19" t="n">
        <v>0</v>
      </c>
      <c r="AT259" s="19" t="n">
        <v>0.05</v>
      </c>
      <c r="AU259" s="19" t="n">
        <v>0.08</v>
      </c>
      <c r="AV259" s="19" t="n">
        <v>0.59</v>
      </c>
      <c r="AW259" s="17" t="n">
        <v>-3.092675242845896</v>
      </c>
      <c r="AX259" t="inlineStr">
        <is>
          <t>29cr</t>
        </is>
      </c>
      <c r="AY259" s="26" t="n">
        <v>1.425930959953345</v>
      </c>
      <c r="AZ259" s="26" t="n">
        <v>1.453221061498769</v>
      </c>
      <c r="BA259" s="26" t="n">
        <v>0.6883374920196623</v>
      </c>
      <c r="BB259" s="28" t="n">
        <v>2</v>
      </c>
      <c r="BC259" t="n">
        <v>0</v>
      </c>
      <c r="BD259" t="n">
        <v>0</v>
      </c>
      <c r="BE259" t="n">
        <v>1</v>
      </c>
      <c r="BF259" t="n">
        <v>0</v>
      </c>
      <c r="BG259" t="n">
        <v>0</v>
      </c>
      <c r="BH259" t="n">
        <v>1</v>
      </c>
    </row>
    <row r="260">
      <c r="A260" s="19" t="inlineStr">
        <is>
          <t>Invesco India Consumption Fund</t>
        </is>
      </c>
      <c r="B260" s="19" t="inlineStr">
        <is>
          <t>sectorial:thematic</t>
        </is>
      </c>
      <c r="C260" s="19" t="inlineStr">
        <is>
          <t>Nifty India Consumption TRI</t>
        </is>
      </c>
      <c r="D260" s="19" t="inlineStr">
        <is>
          <t>Very High</t>
        </is>
      </c>
      <c r="E260" s="19" t="inlineStr">
        <is>
          <t>Very High</t>
        </is>
      </c>
      <c r="F260" s="20" t="n">
        <v>46023</v>
      </c>
      <c r="G260" s="19" t="n">
        <v>9.789999999999999</v>
      </c>
      <c r="H260" s="19" t="n">
        <v>9.82</v>
      </c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>
        <v>560.53</v>
      </c>
      <c r="W260" s="19" t="n"/>
      <c r="X260" s="19" t="n"/>
      <c r="Y260" s="19" t="n"/>
      <c r="Z260" s="19" t="n"/>
      <c r="AA260" s="19" t="n"/>
      <c r="AB260" s="19" t="n"/>
      <c r="AC260" s="19" t="n"/>
      <c r="AD260" s="19" t="n"/>
      <c r="AE260" s="19" t="n"/>
      <c r="AF260" s="19" t="n"/>
      <c r="AG260" s="19" t="n"/>
      <c r="AH260" s="19" t="n"/>
      <c r="AI260" s="19" t="n"/>
      <c r="AJ260" s="19" t="n"/>
      <c r="AK260" s="19" t="n"/>
      <c r="AL260" s="19" t="inlineStr">
        <is>
          <t>Equity Scheme - Sectoral/ Thematic</t>
        </is>
      </c>
      <c r="AM260" s="19" t="n">
        <v>2.24</v>
      </c>
      <c r="AN260" s="19" t="n">
        <v>0</v>
      </c>
      <c r="AO260" s="19" t="n">
        <v>0.05</v>
      </c>
      <c r="AP260" s="19" t="n">
        <v>0.09</v>
      </c>
      <c r="AQ260" s="19" t="n">
        <v>2.38</v>
      </c>
      <c r="AR260" s="19" t="n">
        <v>0.55</v>
      </c>
      <c r="AS260" s="19" t="n">
        <v>0</v>
      </c>
      <c r="AT260" s="19" t="n">
        <v>0.05</v>
      </c>
      <c r="AU260" s="19" t="n">
        <v>0.09</v>
      </c>
      <c r="AV260" s="19" t="n">
        <v>0.6899999999999999</v>
      </c>
      <c r="AW260" s="17" t="n">
        <v>-2.115854637575155</v>
      </c>
      <c r="AX260" t="inlineStr">
        <is>
          <t>12cr</t>
        </is>
      </c>
      <c r="AY260" s="26" t="n">
        <v>1.021062829855607</v>
      </c>
      <c r="AZ260" s="26" t="n">
        <v>1.453221061498769</v>
      </c>
      <c r="BA260" s="26" t="n">
        <v>0.5230346999264898</v>
      </c>
      <c r="BB260" s="28" t="n">
        <v>2</v>
      </c>
      <c r="BC260" t="n">
        <v>0</v>
      </c>
      <c r="BD260" t="n">
        <v>0</v>
      </c>
      <c r="BE260" t="n">
        <v>1</v>
      </c>
      <c r="BF260" t="n">
        <v>0</v>
      </c>
      <c r="BG260" t="n">
        <v>0</v>
      </c>
      <c r="BH260" t="n">
        <v>1</v>
      </c>
    </row>
    <row r="261">
      <c r="A261" s="19" t="inlineStr">
        <is>
          <t>Invesco India ESG Integration Strategy Fund</t>
        </is>
      </c>
      <c r="B261" s="19" t="inlineStr">
        <is>
          <t>sectorial:thematic</t>
        </is>
      </c>
      <c r="C261" s="19" t="inlineStr">
        <is>
          <t>Nifty 100 ESG TRI</t>
        </is>
      </c>
      <c r="D261" s="19" t="inlineStr">
        <is>
          <t>Very High</t>
        </is>
      </c>
      <c r="E261" s="19" t="inlineStr">
        <is>
          <t>Very High</t>
        </is>
      </c>
      <c r="F261" s="20" t="n">
        <v>46023</v>
      </c>
      <c r="G261" s="19" t="n">
        <v>17.38</v>
      </c>
      <c r="H261" s="19" t="n">
        <v>18.74</v>
      </c>
      <c r="I261" s="19" t="n">
        <v>-2.3449714</v>
      </c>
      <c r="J261" s="19" t="n">
        <v>-14.1316594</v>
      </c>
      <c r="K261" s="19" t="n">
        <v>11.786688</v>
      </c>
      <c r="L261" s="19" t="n">
        <v>14.992882</v>
      </c>
      <c r="M261" s="19" t="n">
        <v>-0.9994890000000005</v>
      </c>
      <c r="N261" s="19" t="n">
        <v>15.992371</v>
      </c>
      <c r="O261" s="19" t="n"/>
      <c r="P261" s="19" t="n"/>
      <c r="Q261" s="19" t="n"/>
      <c r="R261" s="19" t="n"/>
      <c r="S261" s="19" t="n"/>
      <c r="T261" s="19" t="n"/>
      <c r="U261" s="19" t="n">
        <v>13.996612</v>
      </c>
      <c r="V261" s="19" t="n">
        <v>435.04</v>
      </c>
      <c r="W261" s="19" t="n">
        <v>-3.192879550810756</v>
      </c>
      <c r="X261" s="19" t="n">
        <v>-3.52808108031697</v>
      </c>
      <c r="Y261" s="19" t="n"/>
      <c r="Z261" s="19" t="n"/>
      <c r="AA261" s="19" t="n">
        <v>-0.1827930927684376</v>
      </c>
      <c r="AB261" s="19" t="n">
        <v>-0.4964869932476766</v>
      </c>
      <c r="AC261" s="19" t="n"/>
      <c r="AD261" s="19" t="n"/>
      <c r="AE261" s="19" t="n">
        <v>-3.6585367</v>
      </c>
      <c r="AF261" s="19" t="n"/>
      <c r="AG261" s="19" t="n">
        <v>13.355349</v>
      </c>
      <c r="AH261" s="19" t="n"/>
      <c r="AI261" s="19" t="n">
        <v>14.517907</v>
      </c>
      <c r="AJ261" s="19" t="n">
        <v>14.517907</v>
      </c>
      <c r="AK261" s="19" t="n">
        <v>12.219292</v>
      </c>
      <c r="AL261" s="19" t="inlineStr">
        <is>
          <t>Equity Scheme - Sectoral/ Thematic</t>
        </is>
      </c>
      <c r="AM261" s="19" t="n">
        <v>2.25</v>
      </c>
      <c r="AN261" s="19" t="n">
        <v>0</v>
      </c>
      <c r="AO261" s="19" t="n">
        <v>0.05</v>
      </c>
      <c r="AP261" s="19" t="n">
        <v>0.15</v>
      </c>
      <c r="AQ261" s="19" t="n">
        <v>2.45</v>
      </c>
      <c r="AR261" s="19" t="n">
        <v>0.95</v>
      </c>
      <c r="AS261" s="19" t="n">
        <v>0</v>
      </c>
      <c r="AT261" s="19" t="n">
        <v>0.05</v>
      </c>
      <c r="AU261" s="19" t="n">
        <v>0.15</v>
      </c>
      <c r="AV261" s="19" t="n">
        <v>1.15</v>
      </c>
      <c r="AW261" s="17" t="n">
        <v>3.838727473335783</v>
      </c>
      <c r="AX261" s="18" t="inlineStr">
        <is>
          <t>-17cr</t>
        </is>
      </c>
      <c r="AY261" s="26" t="n">
        <v>1.079637761170284</v>
      </c>
      <c r="AZ261" s="26" t="n">
        <v>1.453221061498769</v>
      </c>
      <c r="BA261" s="26" t="n">
        <v>0.5326995429169601</v>
      </c>
      <c r="BB261" s="28" t="n">
        <v>2</v>
      </c>
      <c r="BC261" t="n">
        <v>0</v>
      </c>
      <c r="BD261" t="n">
        <v>1</v>
      </c>
      <c r="BE261" t="n">
        <v>0</v>
      </c>
      <c r="BF261" t="n">
        <v>0</v>
      </c>
      <c r="BG261" t="n">
        <v>0</v>
      </c>
      <c r="BH261" t="n">
        <v>1</v>
      </c>
    </row>
    <row r="262">
      <c r="A262" s="19" t="inlineStr">
        <is>
          <t>Invesco India Financial Services Fund</t>
        </is>
      </c>
      <c r="B262" s="19" t="inlineStr">
        <is>
          <t>sectorial:thematic</t>
        </is>
      </c>
      <c r="C262" s="19" t="inlineStr">
        <is>
          <t>Nifty Financial Services TRI</t>
        </is>
      </c>
      <c r="D262" s="19" t="inlineStr">
        <is>
          <t>Very High</t>
        </is>
      </c>
      <c r="E262" s="19" t="inlineStr">
        <is>
          <t>Very High</t>
        </is>
      </c>
      <c r="F262" s="20" t="n">
        <v>46023</v>
      </c>
      <c r="G262" s="19" t="n">
        <v>145.71</v>
      </c>
      <c r="H262" s="19" t="n">
        <v>175.18</v>
      </c>
      <c r="I262" s="19" t="n">
        <v>15.898114</v>
      </c>
      <c r="J262" s="19" t="n">
        <v>-2.392106000000002</v>
      </c>
      <c r="K262" s="19" t="n">
        <v>18.29022</v>
      </c>
      <c r="L262" s="19" t="n">
        <v>21.76314</v>
      </c>
      <c r="M262" s="19" t="n">
        <v>7.304550000000001</v>
      </c>
      <c r="N262" s="19" t="n">
        <v>14.45859</v>
      </c>
      <c r="O262" s="19" t="n">
        <v>19.07929</v>
      </c>
      <c r="P262" s="19" t="n">
        <v>5.358238</v>
      </c>
      <c r="Q262" s="19" t="n">
        <v>13.721052</v>
      </c>
      <c r="R262" s="19" t="n">
        <v>17.678648</v>
      </c>
      <c r="S262" s="19" t="n">
        <v>2.206799499999999</v>
      </c>
      <c r="T262" s="19" t="n">
        <v>15.4718485</v>
      </c>
      <c r="U262" s="19" t="n">
        <v>16.398958</v>
      </c>
      <c r="V262" s="19" t="n">
        <v>1600.43</v>
      </c>
      <c r="W262" s="19" t="n">
        <v>-0.3356038279574781</v>
      </c>
      <c r="X262" s="19" t="n">
        <v>-0.5675507869149874</v>
      </c>
      <c r="Y262" s="19" t="n">
        <v>0.2920788396292675</v>
      </c>
      <c r="Z262" s="19" t="n">
        <v>0.0416509704969061</v>
      </c>
      <c r="AA262" s="19" t="n">
        <v>0.9614908967807216</v>
      </c>
      <c r="AB262" s="19" t="n">
        <v>0.7574408609925379</v>
      </c>
      <c r="AC262" s="19" t="n">
        <v>0.7088929352536729</v>
      </c>
      <c r="AD262" s="19" t="n">
        <v>0.4964120642354544</v>
      </c>
      <c r="AE262" s="19" t="n">
        <v>14.390014</v>
      </c>
      <c r="AF262" s="19" t="n">
        <v>15.992906</v>
      </c>
      <c r="AG262" s="19" t="n">
        <v>20.169453</v>
      </c>
      <c r="AH262" s="19" t="n">
        <v>17.488865</v>
      </c>
      <c r="AI262" s="19" t="n">
        <v>16.46413</v>
      </c>
      <c r="AJ262" s="19" t="n">
        <v>14.639613</v>
      </c>
      <c r="AK262" s="19" t="n">
        <v>16.563683</v>
      </c>
      <c r="AL262" s="19" t="inlineStr">
        <is>
          <t>Equity Scheme - Sectoral/ Thematic</t>
        </is>
      </c>
      <c r="AM262" s="19" t="n">
        <v>1.94</v>
      </c>
      <c r="AN262" s="19" t="n">
        <v>0</v>
      </c>
      <c r="AO262" s="19" t="n">
        <v>0.05</v>
      </c>
      <c r="AP262" s="19" t="n">
        <v>0.1</v>
      </c>
      <c r="AQ262" s="19" t="n">
        <v>2.09</v>
      </c>
      <c r="AR262" s="19" t="n">
        <v>0.64</v>
      </c>
      <c r="AS262" s="19" t="n">
        <v>0</v>
      </c>
      <c r="AT262" s="19" t="n">
        <v>0.05</v>
      </c>
      <c r="AU262" s="19" t="n">
        <v>0.1</v>
      </c>
      <c r="AV262" s="19" t="n">
        <v>0.79</v>
      </c>
      <c r="AW262" s="17" t="n">
        <v>-0.574220678192739</v>
      </c>
      <c r="AX262" t="inlineStr">
        <is>
          <t>9cr</t>
        </is>
      </c>
      <c r="AY262" s="26" t="n">
        <v>2.245327729383349</v>
      </c>
      <c r="AZ262" s="26" t="n">
        <v>1.453221061498769</v>
      </c>
      <c r="BA262" s="26" t="n">
        <v>0.6086693465661678</v>
      </c>
      <c r="BB262" s="28" t="n">
        <v>2</v>
      </c>
      <c r="BC262" t="n">
        <v>1</v>
      </c>
      <c r="BD262" t="n">
        <v>0</v>
      </c>
      <c r="BE262" t="n">
        <v>1</v>
      </c>
      <c r="BF262" t="n">
        <v>0</v>
      </c>
      <c r="BG262" t="n">
        <v>0</v>
      </c>
      <c r="BH262" t="n">
        <v>0</v>
      </c>
    </row>
    <row r="263">
      <c r="A263" s="19" t="inlineStr">
        <is>
          <t>Invesco India Infrastructure Fund</t>
        </is>
      </c>
      <c r="B263" s="19" t="inlineStr">
        <is>
          <t>sectorial:thematic</t>
        </is>
      </c>
      <c r="C263" s="19" t="inlineStr">
        <is>
          <t>BSE India Infrastructure TRI</t>
        </is>
      </c>
      <c r="D263" s="19" t="inlineStr">
        <is>
          <t>Very High</t>
        </is>
      </c>
      <c r="E263" s="19" t="inlineStr">
        <is>
          <t>Very High</t>
        </is>
      </c>
      <c r="F263" s="20" t="n">
        <v>46023</v>
      </c>
      <c r="G263" s="19" t="n">
        <v>60.53</v>
      </c>
      <c r="H263" s="19" t="n">
        <v>73.16</v>
      </c>
      <c r="I263" s="19" t="n">
        <v>-6.084724</v>
      </c>
      <c r="J263" s="19" t="n">
        <v>-4.192872599999999</v>
      </c>
      <c r="K263" s="19" t="n">
        <v>-1.8918514</v>
      </c>
      <c r="L263" s="19" t="n">
        <v>24.976984</v>
      </c>
      <c r="M263" s="19" t="n">
        <v>-2.320105999999999</v>
      </c>
      <c r="N263" s="19" t="n">
        <v>27.29709</v>
      </c>
      <c r="O263" s="19" t="n">
        <v>25.936813</v>
      </c>
      <c r="P263" s="19" t="n">
        <v>-2.965989</v>
      </c>
      <c r="Q263" s="19" t="n">
        <v>28.902802</v>
      </c>
      <c r="R263" s="19" t="n">
        <v>18.186821</v>
      </c>
      <c r="S263" s="19" t="n">
        <v>2.113700999999999</v>
      </c>
      <c r="T263" s="19" t="n">
        <v>16.07312</v>
      </c>
      <c r="U263" s="19" t="n">
        <v>18.852785</v>
      </c>
      <c r="V263" s="19" t="n">
        <v>1421.25</v>
      </c>
      <c r="W263" s="19" t="n">
        <v>-0.5471969379146833</v>
      </c>
      <c r="X263" s="19" t="n">
        <v>-0.6909838107837935</v>
      </c>
      <c r="Y263" s="19" t="n">
        <v>0.09086128423064352</v>
      </c>
      <c r="Z263" s="19" t="n">
        <v>-0.05506600748203013</v>
      </c>
      <c r="AA263" s="19" t="n">
        <v>-0.2805400718941831</v>
      </c>
      <c r="AB263" s="19" t="n">
        <v>-0.4119088319515996</v>
      </c>
      <c r="AC263" s="19" t="n">
        <v>-0.3124297219821101</v>
      </c>
      <c r="AD263" s="19" t="n">
        <v>-0.4412084946883444</v>
      </c>
      <c r="AE263" s="19" t="n">
        <v>-7.2621417</v>
      </c>
      <c r="AF263" s="19" t="n">
        <v>16.426676</v>
      </c>
      <c r="AG263" s="19" t="n">
        <v>23.294222</v>
      </c>
      <c r="AH263" s="19" t="n">
        <v>24.235672</v>
      </c>
      <c r="AI263" s="19" t="n"/>
      <c r="AJ263" s="19" t="n">
        <v>15.051066</v>
      </c>
      <c r="AK263" s="19" t="n">
        <v>10.443653</v>
      </c>
      <c r="AL263" s="19" t="inlineStr">
        <is>
          <t>Equity Scheme - Sectoral/ Thematic</t>
        </is>
      </c>
      <c r="AM263" s="19" t="n">
        <v>1.98</v>
      </c>
      <c r="AN263" s="19" t="n">
        <v>0</v>
      </c>
      <c r="AO263" s="19" t="n">
        <v>0.05</v>
      </c>
      <c r="AP263" s="19" t="n">
        <v>0.11</v>
      </c>
      <c r="AQ263" s="19" t="n">
        <v>2.14</v>
      </c>
      <c r="AR263" s="19" t="n">
        <v>0.68</v>
      </c>
      <c r="AS263" s="19" t="n">
        <v>0</v>
      </c>
      <c r="AT263" s="19" t="n">
        <v>0.05</v>
      </c>
      <c r="AU263" s="19" t="n">
        <v>0.11</v>
      </c>
      <c r="AV263" s="19" t="n">
        <v>0.84</v>
      </c>
      <c r="AW263" s="17" t="n">
        <v>2.444327176781004</v>
      </c>
      <c r="AX263" s="18" t="inlineStr">
        <is>
          <t>-35cr</t>
        </is>
      </c>
      <c r="AY263" s="26" t="n">
        <v>2.484092087638815</v>
      </c>
      <c r="AZ263" s="26" t="n">
        <v>1.453221061498769</v>
      </c>
      <c r="BA263" s="26" t="n">
        <v>0.6653871999846174</v>
      </c>
      <c r="BB263" s="28" t="n">
        <v>2</v>
      </c>
      <c r="BC263" t="n">
        <v>0</v>
      </c>
      <c r="BD263" t="n">
        <v>1</v>
      </c>
      <c r="BE263" t="n">
        <v>1</v>
      </c>
      <c r="BF263" t="n">
        <v>0</v>
      </c>
      <c r="BG263" t="n">
        <v>0</v>
      </c>
      <c r="BH263" t="n">
        <v>0</v>
      </c>
    </row>
    <row r="264">
      <c r="A264" s="19" t="inlineStr">
        <is>
          <t>Invesco India Manufacturing Fund</t>
        </is>
      </c>
      <c r="B264" s="19" t="inlineStr">
        <is>
          <t>sectorial:thematic</t>
        </is>
      </c>
      <c r="C264" s="19" t="inlineStr">
        <is>
          <t>Nifty India Manufacturing TRI</t>
        </is>
      </c>
      <c r="D264" s="19" t="inlineStr">
        <is>
          <t>Very High</t>
        </is>
      </c>
      <c r="E264" s="19" t="inlineStr">
        <is>
          <t>Very High</t>
        </is>
      </c>
      <c r="F264" s="20" t="n">
        <v>46023</v>
      </c>
      <c r="G264" s="19" t="n">
        <v>9.99</v>
      </c>
      <c r="H264" s="19" t="n">
        <v>10.2</v>
      </c>
      <c r="I264" s="19" t="n">
        <v>-5.380334</v>
      </c>
      <c r="J264" s="19" t="n">
        <v>-17.431306</v>
      </c>
      <c r="K264" s="19" t="n">
        <v>12.050972</v>
      </c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>
        <v>0.9407697</v>
      </c>
      <c r="V264" s="19" t="n">
        <v>703.99</v>
      </c>
      <c r="W264" s="19" t="n">
        <v>-2.778973079267177</v>
      </c>
      <c r="X264" s="19" t="n">
        <v>-3.028629197780484</v>
      </c>
      <c r="Y264" s="19" t="n"/>
      <c r="Z264" s="19" t="n"/>
      <c r="AA264" s="19" t="n"/>
      <c r="AB264" s="19" t="n"/>
      <c r="AC264" s="19" t="n"/>
      <c r="AD264" s="19" t="n"/>
      <c r="AE264" s="19" t="n">
        <v>-6.722689</v>
      </c>
      <c r="AF264" s="19" t="n"/>
      <c r="AG264" s="19" t="n"/>
      <c r="AH264" s="19" t="n"/>
      <c r="AI264" s="19" t="n">
        <v>3.7870398</v>
      </c>
      <c r="AJ264" s="19" t="n">
        <v>3.7870398</v>
      </c>
      <c r="AK264" s="19" t="n">
        <v>-0.5805645</v>
      </c>
      <c r="AL264" s="19" t="inlineStr">
        <is>
          <t>Equity Scheme - Sectoral/ Thematic</t>
        </is>
      </c>
      <c r="AM264" s="19" t="n">
        <v>2.19</v>
      </c>
      <c r="AN264" s="19" t="n">
        <v>0</v>
      </c>
      <c r="AO264" s="19" t="n">
        <v>0.05</v>
      </c>
      <c r="AP264" s="19" t="n">
        <v>0.1</v>
      </c>
      <c r="AQ264" s="19" t="n">
        <v>2.34</v>
      </c>
      <c r="AR264" s="19" t="n">
        <v>0.62</v>
      </c>
      <c r="AS264" s="19" t="n">
        <v>0</v>
      </c>
      <c r="AT264" s="19" t="n">
        <v>0.05</v>
      </c>
      <c r="AU264" s="19" t="n">
        <v>0.1</v>
      </c>
      <c r="AV264" s="19" t="n">
        <v>0.77</v>
      </c>
      <c r="AW264" s="17" t="n">
        <v>3.24294379181523</v>
      </c>
      <c r="AX264" s="18" t="inlineStr">
        <is>
          <t>-23cr</t>
        </is>
      </c>
      <c r="AY264" s="26" t="n">
        <v>1.703472583698752</v>
      </c>
      <c r="AZ264" s="26" t="n">
        <v>1.453221061498769</v>
      </c>
      <c r="BA264" s="26" t="n">
        <v>0.6086417281371513</v>
      </c>
      <c r="BB264" s="28" t="n">
        <v>2</v>
      </c>
      <c r="BC264" t="n">
        <v>0</v>
      </c>
      <c r="BD264" t="n">
        <v>1</v>
      </c>
      <c r="BE264" t="n">
        <v>1</v>
      </c>
      <c r="BF264" t="n">
        <v>0</v>
      </c>
      <c r="BG264" t="n">
        <v>0</v>
      </c>
      <c r="BH264" t="n">
        <v>0</v>
      </c>
    </row>
    <row r="265">
      <c r="A265" s="19" t="inlineStr">
        <is>
          <t>Invesco India PSU Equity Fund</t>
        </is>
      </c>
      <c r="B265" s="19" t="inlineStr">
        <is>
          <t>sectorial:thematic</t>
        </is>
      </c>
      <c r="C265" s="19" t="inlineStr">
        <is>
          <t>BSE PSU TRI</t>
        </is>
      </c>
      <c r="D265" s="19" t="inlineStr">
        <is>
          <t>Very High</t>
        </is>
      </c>
      <c r="E265" s="19" t="inlineStr">
        <is>
          <t>Very High</t>
        </is>
      </c>
      <c r="F265" s="20" t="n">
        <v>46023</v>
      </c>
      <c r="G265" s="19" t="n">
        <v>66.36</v>
      </c>
      <c r="H265" s="19" t="n">
        <v>79.16</v>
      </c>
      <c r="I265" s="19" t="n">
        <v>11.6974745</v>
      </c>
      <c r="J265" s="19" t="n">
        <v>-0.4720455000000001</v>
      </c>
      <c r="K265" s="19" t="n">
        <v>12.16952</v>
      </c>
      <c r="L265" s="19" t="n">
        <v>30.586216</v>
      </c>
      <c r="M265" s="19" t="n">
        <v>-0.5492419999999996</v>
      </c>
      <c r="N265" s="19" t="n">
        <v>31.135458</v>
      </c>
      <c r="O265" s="19" t="n">
        <v>29.203468</v>
      </c>
      <c r="P265" s="19" t="n">
        <v>-4.303376</v>
      </c>
      <c r="Q265" s="19" t="n">
        <v>33.506844</v>
      </c>
      <c r="R265" s="19" t="n">
        <v>18.523136</v>
      </c>
      <c r="S265" s="19" t="n">
        <v>2.891322000000001</v>
      </c>
      <c r="T265" s="19" t="n">
        <v>15.631814</v>
      </c>
      <c r="U265" s="19" t="n">
        <v>16.889904</v>
      </c>
      <c r="V265" s="19" t="n">
        <v>1452.89</v>
      </c>
      <c r="W265" s="19" t="n">
        <v>-0.08759752614576619</v>
      </c>
      <c r="X265" s="19" t="n">
        <v>-0.3833546420934892</v>
      </c>
      <c r="Y265" s="19" t="n">
        <v>0.26178395094599</v>
      </c>
      <c r="Z265" s="19" t="n">
        <v>0.07798031817585629</v>
      </c>
      <c r="AA265" s="19" t="n">
        <v>-0.1319721256304347</v>
      </c>
      <c r="AB265" s="19" t="n">
        <v>-0.4177067481945522</v>
      </c>
      <c r="AC265" s="19" t="n">
        <v>-0.6111155250338368</v>
      </c>
      <c r="AD265" s="19" t="n">
        <v>-0.8437678417241421</v>
      </c>
      <c r="AE265" s="19" t="n">
        <v>10.324189</v>
      </c>
      <c r="AF265" s="19" t="n">
        <v>16.863152</v>
      </c>
      <c r="AG265" s="19" t="n">
        <v>28.886337</v>
      </c>
      <c r="AH265" s="19" t="n">
        <v>27.476538</v>
      </c>
      <c r="AI265" s="19" t="n">
        <v>8.3499775</v>
      </c>
      <c r="AJ265" s="19" t="n">
        <v>11.649444</v>
      </c>
      <c r="AK265" s="19" t="n">
        <v>12.467846</v>
      </c>
      <c r="AL265" s="19" t="inlineStr">
        <is>
          <t>Equity Scheme - Sectoral/ Thematic</t>
        </is>
      </c>
      <c r="AM265" s="19" t="n">
        <v>1.96</v>
      </c>
      <c r="AN265" s="19" t="n">
        <v>0</v>
      </c>
      <c r="AO265" s="19" t="n">
        <v>0.05</v>
      </c>
      <c r="AP265" s="19" t="n">
        <v>0.11</v>
      </c>
      <c r="AQ265" s="19" t="n">
        <v>2.12</v>
      </c>
      <c r="AR265" s="19" t="n">
        <v>0.74</v>
      </c>
      <c r="AS265" s="19" t="n">
        <v>0</v>
      </c>
      <c r="AT265" s="19" t="n">
        <v>0.05</v>
      </c>
      <c r="AU265" s="19" t="n">
        <v>0.11</v>
      </c>
      <c r="AV265" s="19" t="n">
        <v>0.9</v>
      </c>
      <c r="AW265" s="17" t="n">
        <v>-0.1762005382375935</v>
      </c>
      <c r="AX265" t="inlineStr">
        <is>
          <t>3cr</t>
        </is>
      </c>
      <c r="AY265" s="26" t="n">
        <v>1.72860478081656</v>
      </c>
      <c r="AZ265" s="26" t="n">
        <v>1.453221061498769</v>
      </c>
      <c r="BA265" s="26" t="n">
        <v>0.7697222325185336</v>
      </c>
      <c r="BB265" s="28" t="n">
        <v>1</v>
      </c>
      <c r="BC265" t="n">
        <v>1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</row>
    <row r="266">
      <c r="A266" s="19" t="inlineStr">
        <is>
          <t>Invesco India Technology Fund</t>
        </is>
      </c>
      <c r="B266" s="19" t="inlineStr">
        <is>
          <t>sectorial:thematic</t>
        </is>
      </c>
      <c r="C266" s="19" t="inlineStr">
        <is>
          <t>Nifty IT TRI</t>
        </is>
      </c>
      <c r="D266" s="19" t="inlineStr">
        <is>
          <t>Very High</t>
        </is>
      </c>
      <c r="E266" s="19" t="inlineStr">
        <is>
          <t>Very High</t>
        </is>
      </c>
      <c r="F266" s="20" t="n">
        <v>46023</v>
      </c>
      <c r="G266" s="19" t="n">
        <v>9.9</v>
      </c>
      <c r="H266" s="19" t="n">
        <v>10.1</v>
      </c>
      <c r="I266" s="19" t="n">
        <v>-4.896422</v>
      </c>
      <c r="J266" s="19" t="n">
        <v>4.937214</v>
      </c>
      <c r="K266" s="19" t="n">
        <v>-9.833636</v>
      </c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>
        <v>0.7841056</v>
      </c>
      <c r="V266" s="19" t="n">
        <v>331.12</v>
      </c>
      <c r="W266" s="19" t="n">
        <v>0.3617886300381528</v>
      </c>
      <c r="X266" s="19" t="n">
        <v>0.2434795831219363</v>
      </c>
      <c r="Y266" s="19" t="n"/>
      <c r="Z266" s="19" t="n"/>
      <c r="AA266" s="19" t="n"/>
      <c r="AB266" s="19" t="n"/>
      <c r="AC266" s="19" t="n"/>
      <c r="AD266" s="19" t="n"/>
      <c r="AE266" s="19" t="n">
        <v>-6.4272213</v>
      </c>
      <c r="AF266" s="19" t="n"/>
      <c r="AG266" s="19" t="n"/>
      <c r="AH266" s="19" t="n"/>
      <c r="AI266" s="19" t="n">
        <v>-5.0047812</v>
      </c>
      <c r="AJ266" s="19" t="n">
        <v>-5.0047812</v>
      </c>
      <c r="AK266" s="19" t="n">
        <v>-0.7857937</v>
      </c>
      <c r="AL266" s="19" t="inlineStr">
        <is>
          <t>Equity Scheme - Sectoral/ Thematic</t>
        </is>
      </c>
      <c r="AM266" s="19" t="n">
        <v>2.25</v>
      </c>
      <c r="AN266" s="19" t="n">
        <v>0</v>
      </c>
      <c r="AO266" s="19" t="n">
        <v>0.05</v>
      </c>
      <c r="AP266" s="19" t="n">
        <v>0.09</v>
      </c>
      <c r="AQ266" s="19" t="n">
        <v>2.39</v>
      </c>
      <c r="AR266" s="19" t="n">
        <v>0.68</v>
      </c>
      <c r="AS266" s="19" t="n">
        <v>0</v>
      </c>
      <c r="AT266" s="19" t="n">
        <v>0.05</v>
      </c>
      <c r="AU266" s="19" t="n">
        <v>0.09</v>
      </c>
      <c r="AV266" s="19" t="n">
        <v>0.82</v>
      </c>
      <c r="AW266" s="17" t="n">
        <v>2.87207054844165</v>
      </c>
      <c r="AX266" s="18" t="inlineStr">
        <is>
          <t>-10cr</t>
        </is>
      </c>
      <c r="AY266" s="26" t="n">
        <v>1.882849827867819</v>
      </c>
      <c r="AZ266" s="26" t="n">
        <v>1.453221061498769</v>
      </c>
      <c r="BA266" s="26" t="n">
        <v>0.7469754373009225</v>
      </c>
      <c r="BB266" s="28" t="n">
        <v>3</v>
      </c>
      <c r="BC266" t="n">
        <v>0</v>
      </c>
      <c r="BD266" t="n">
        <v>1</v>
      </c>
      <c r="BE266" t="n">
        <v>1</v>
      </c>
      <c r="BF266" t="n">
        <v>1</v>
      </c>
      <c r="BG266" t="n">
        <v>0</v>
      </c>
      <c r="BH266" t="n">
        <v>0</v>
      </c>
    </row>
    <row r="267">
      <c r="A267" s="19" t="inlineStr">
        <is>
          <t>ITI Banking and Financial Services Fund</t>
        </is>
      </c>
      <c r="B267" s="19" t="inlineStr">
        <is>
          <t>sectorial:thematic</t>
        </is>
      </c>
      <c r="C267" s="19" t="inlineStr">
        <is>
          <t>Nifty Financial Services TRI</t>
        </is>
      </c>
      <c r="D267" s="19" t="inlineStr">
        <is>
          <t>Very High</t>
        </is>
      </c>
      <c r="E267" s="19" t="inlineStr">
        <is>
          <t>Very High</t>
        </is>
      </c>
      <c r="F267" s="20" t="n">
        <v>46023</v>
      </c>
      <c r="G267" s="19" t="n">
        <v>16.2267</v>
      </c>
      <c r="H267" s="19" t="n">
        <v>17.6007</v>
      </c>
      <c r="I267" s="19" t="n">
        <v>22.502714</v>
      </c>
      <c r="J267" s="19" t="n">
        <v>4.212494</v>
      </c>
      <c r="K267" s="19" t="n">
        <v>18.29022</v>
      </c>
      <c r="L267" s="19" t="n">
        <v>16.043777</v>
      </c>
      <c r="M267" s="19" t="n">
        <v>1.585186999999999</v>
      </c>
      <c r="N267" s="19" t="n">
        <v>14.45859</v>
      </c>
      <c r="O267" s="19" t="n"/>
      <c r="P267" s="19" t="n"/>
      <c r="Q267" s="19" t="n"/>
      <c r="R267" s="19" t="n"/>
      <c r="S267" s="19" t="n"/>
      <c r="T267" s="19" t="n"/>
      <c r="U267" s="19" t="n">
        <v>14.88622</v>
      </c>
      <c r="V267" s="19" t="n">
        <v>357.5</v>
      </c>
      <c r="W267" s="19" t="n">
        <v>0.9855091315136895</v>
      </c>
      <c r="X267" s="19" t="n">
        <v>0.4668760715593596</v>
      </c>
      <c r="Y267" s="19" t="n"/>
      <c r="Z267" s="19" t="n"/>
      <c r="AA267" s="19" t="n">
        <v>0.3440649696654116</v>
      </c>
      <c r="AB267" s="19" t="n">
        <v>-0.134762189459362</v>
      </c>
      <c r="AC267" s="19" t="n"/>
      <c r="AD267" s="19" t="n"/>
      <c r="AE267" s="19" t="n">
        <v>20.265482</v>
      </c>
      <c r="AF267" s="19" t="n"/>
      <c r="AG267" s="19" t="n">
        <v>13.859964</v>
      </c>
      <c r="AH267" s="19" t="n"/>
      <c r="AI267" s="19" t="n">
        <v>12.798302</v>
      </c>
      <c r="AJ267" s="19" t="n">
        <v>12.798302</v>
      </c>
      <c r="AK267" s="19" t="n">
        <v>12.6168165</v>
      </c>
      <c r="AL267" s="19" t="inlineStr">
        <is>
          <t>Equity Scheme - Sectoral/ Thematic</t>
        </is>
      </c>
      <c r="AM267" s="19" t="n">
        <v>2.25</v>
      </c>
      <c r="AN267" s="19" t="n">
        <v>0</v>
      </c>
      <c r="AO267" s="19" t="n">
        <v>0.05</v>
      </c>
      <c r="AP267" s="19" t="n">
        <v>0.04</v>
      </c>
      <c r="AQ267" s="19" t="n">
        <v>2.34</v>
      </c>
      <c r="AR267" s="19" t="n">
        <v>0.31</v>
      </c>
      <c r="AS267" s="19" t="n">
        <v>0</v>
      </c>
      <c r="AT267" s="19" t="n">
        <v>0.05</v>
      </c>
      <c r="AU267" s="19" t="n">
        <v>0.04</v>
      </c>
      <c r="AV267" s="19" t="n">
        <v>0.4</v>
      </c>
      <c r="AW267" s="17" t="n">
        <v>-2.590209790209788</v>
      </c>
      <c r="AX267" t="inlineStr">
        <is>
          <t>9cr</t>
        </is>
      </c>
      <c r="AY267" s="26" t="n">
        <v>2.582243693125079</v>
      </c>
      <c r="AZ267" s="26" t="n">
        <v>1.453221061498769</v>
      </c>
      <c r="BA267" s="26" t="n">
        <v>0.5745561815133633</v>
      </c>
      <c r="BB267" s="28" t="n">
        <v>3</v>
      </c>
      <c r="BC267" t="n">
        <v>1</v>
      </c>
      <c r="BD267" t="n">
        <v>0</v>
      </c>
      <c r="BE267" t="n">
        <v>1</v>
      </c>
      <c r="BF267" t="n">
        <v>1</v>
      </c>
      <c r="BG267" t="n">
        <v>0</v>
      </c>
      <c r="BH267" t="n">
        <v>0</v>
      </c>
    </row>
    <row r="268">
      <c r="A268" s="19" t="inlineStr">
        <is>
          <t>ITI Bharat Consumption Fund</t>
        </is>
      </c>
      <c r="B268" s="19" t="inlineStr">
        <is>
          <t>sectorial:thematic</t>
        </is>
      </c>
      <c r="C268" s="19" t="inlineStr">
        <is>
          <t>Nifty India Consumption TRI</t>
        </is>
      </c>
      <c r="D268" s="19" t="inlineStr">
        <is>
          <t>Very High</t>
        </is>
      </c>
      <c r="E268" s="19" t="inlineStr">
        <is>
          <t>Very High</t>
        </is>
      </c>
      <c r="F268" s="20" t="n">
        <v>46023</v>
      </c>
      <c r="G268" s="19" t="n">
        <v>11.5678</v>
      </c>
      <c r="H268" s="19" t="n">
        <v>11.7486</v>
      </c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>
        <v>367.62</v>
      </c>
      <c r="W268" s="19" t="n"/>
      <c r="X268" s="19" t="n"/>
      <c r="Y268" s="19" t="n"/>
      <c r="Z268" s="19" t="n"/>
      <c r="AA268" s="19" t="n"/>
      <c r="AB268" s="19" t="n"/>
      <c r="AC268" s="19" t="n"/>
      <c r="AD268" s="19" t="n"/>
      <c r="AE268" s="19" t="n"/>
      <c r="AF268" s="19" t="n"/>
      <c r="AG268" s="19" t="n"/>
      <c r="AH268" s="19" t="n"/>
      <c r="AI268" s="19" t="n"/>
      <c r="AJ268" s="19" t="n"/>
      <c r="AK268" s="19" t="n"/>
      <c r="AL268" s="19" t="inlineStr">
        <is>
          <t>Equity Scheme - Sectoral/ Thematic</t>
        </is>
      </c>
      <c r="AM268" s="19" t="n">
        <v>2.25</v>
      </c>
      <c r="AN268" s="19" t="n">
        <v>0</v>
      </c>
      <c r="AO268" s="19" t="n">
        <v>0.05</v>
      </c>
      <c r="AP268" s="19" t="n">
        <v>0.11</v>
      </c>
      <c r="AQ268" s="19" t="n">
        <v>2.41</v>
      </c>
      <c r="AR268" s="19" t="n">
        <v>0.61</v>
      </c>
      <c r="AS268" s="19" t="n">
        <v>0</v>
      </c>
      <c r="AT268" s="19" t="n">
        <v>0.05</v>
      </c>
      <c r="AU268" s="19" t="n">
        <v>0.11</v>
      </c>
      <c r="AV268" s="19" t="n">
        <v>0.77</v>
      </c>
      <c r="AW268" s="17" t="n">
        <v>-1.841575539959736</v>
      </c>
      <c r="AX268" t="inlineStr">
        <is>
          <t>7cr</t>
        </is>
      </c>
      <c r="AY268" s="26" t="n">
        <v>1.082500241701493</v>
      </c>
      <c r="AZ268" s="26" t="n">
        <v>1.453221061498769</v>
      </c>
      <c r="BA268" s="26" t="n">
        <v>0.5243680893428065</v>
      </c>
      <c r="BB268" s="28" t="n">
        <v>2</v>
      </c>
      <c r="BC268" t="n">
        <v>0</v>
      </c>
      <c r="BD268" t="n">
        <v>0</v>
      </c>
      <c r="BE268" t="n">
        <v>1</v>
      </c>
      <c r="BF268" t="n">
        <v>0</v>
      </c>
      <c r="BG268" t="n">
        <v>0</v>
      </c>
      <c r="BH268" t="n">
        <v>1</v>
      </c>
    </row>
    <row r="269">
      <c r="A269" s="19" t="inlineStr">
        <is>
          <t>Kotak Active Momentum Fund</t>
        </is>
      </c>
      <c r="B269" s="19" t="inlineStr">
        <is>
          <t>sectorial:thematic</t>
        </is>
      </c>
      <c r="C269" s="19" t="inlineStr">
        <is>
          <t>Nifty 500 TRI</t>
        </is>
      </c>
      <c r="D269" s="19" t="inlineStr">
        <is>
          <t>Very High</t>
        </is>
      </c>
      <c r="E269" s="19" t="inlineStr">
        <is>
          <t>Very High</t>
        </is>
      </c>
      <c r="F269" s="20" t="n">
        <v>46023</v>
      </c>
      <c r="G269" s="19" t="n">
        <v>10.563</v>
      </c>
      <c r="H269" s="19" t="n">
        <v>10.617</v>
      </c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>
        <v>1393.91</v>
      </c>
      <c r="W269" s="19" t="n"/>
      <c r="X269" s="19" t="n"/>
      <c r="Y269" s="19" t="n"/>
      <c r="Z269" s="19" t="n"/>
      <c r="AA269" s="19" t="n"/>
      <c r="AB269" s="19" t="n"/>
      <c r="AC269" s="19" t="n"/>
      <c r="AD269" s="19" t="n"/>
      <c r="AE269" s="19" t="n"/>
      <c r="AF269" s="19" t="n"/>
      <c r="AG269" s="19" t="n"/>
      <c r="AH269" s="19" t="n"/>
      <c r="AI269" s="19" t="n"/>
      <c r="AJ269" s="19" t="n"/>
      <c r="AK269" s="19" t="n"/>
      <c r="AL269" s="19" t="inlineStr">
        <is>
          <t>Equity Scheme - Sectoral/ Thematic</t>
        </is>
      </c>
      <c r="AM269" s="19" t="n">
        <v>1.98</v>
      </c>
      <c r="AN269" s="19" t="n">
        <v>0</v>
      </c>
      <c r="AO269" s="19" t="n">
        <v>0.05</v>
      </c>
      <c r="AP269" s="19" t="n">
        <v>0.1</v>
      </c>
      <c r="AQ269" s="19" t="n">
        <v>2.13</v>
      </c>
      <c r="AR269" s="19" t="n">
        <v>0.68</v>
      </c>
      <c r="AS269" s="19" t="n">
        <v>0</v>
      </c>
      <c r="AT269" s="19" t="n">
        <v>0</v>
      </c>
      <c r="AU269" s="19" t="n">
        <v>0.1</v>
      </c>
      <c r="AV269" s="19" t="n">
        <v>0.78</v>
      </c>
      <c r="AW269" s="17" t="n">
        <v>0.2152219296798215</v>
      </c>
      <c r="AX269" s="18" t="inlineStr">
        <is>
          <t>-3cr</t>
        </is>
      </c>
      <c r="AY269" s="26" t="n">
        <v>1.159439546364552</v>
      </c>
      <c r="AZ269" s="26" t="n">
        <v>1.453221061498769</v>
      </c>
      <c r="BA269" s="26" t="n">
        <v>0.6366705297640951</v>
      </c>
      <c r="BB269" s="28" t="n">
        <v>3</v>
      </c>
      <c r="BC269" t="n">
        <v>0</v>
      </c>
      <c r="BD269" t="n">
        <v>1</v>
      </c>
      <c r="BE269" t="n">
        <v>1</v>
      </c>
      <c r="BF269" t="n">
        <v>0</v>
      </c>
      <c r="BG269" t="n">
        <v>0</v>
      </c>
      <c r="BH269" t="n">
        <v>1</v>
      </c>
    </row>
    <row r="270">
      <c r="A270" s="19" t="inlineStr">
        <is>
          <t>Kotak Business Cycle Fund</t>
        </is>
      </c>
      <c r="B270" s="19" t="inlineStr">
        <is>
          <t>sectorial:thematic</t>
        </is>
      </c>
      <c r="C270" s="19" t="inlineStr">
        <is>
          <t>Nifty 500 TRI</t>
        </is>
      </c>
      <c r="D270" s="19" t="inlineStr">
        <is>
          <t>Very High</t>
        </is>
      </c>
      <c r="E270" s="19" t="inlineStr">
        <is>
          <t>Very High</t>
        </is>
      </c>
      <c r="F270" s="20" t="n">
        <v>46023</v>
      </c>
      <c r="G270" s="19" t="n">
        <v>16.601</v>
      </c>
      <c r="H270" s="19" t="n">
        <v>17.451</v>
      </c>
      <c r="I270" s="19" t="n">
        <v>6.2207074</v>
      </c>
      <c r="J270" s="19" t="n">
        <v>-1.1983209</v>
      </c>
      <c r="K270" s="19" t="n">
        <v>7.4190283</v>
      </c>
      <c r="L270" s="19" t="n">
        <v>19.88091</v>
      </c>
      <c r="M270" s="19" t="n">
        <v>3.158681000000001</v>
      </c>
      <c r="N270" s="19" t="n">
        <v>16.722229</v>
      </c>
      <c r="O270" s="19" t="n"/>
      <c r="P270" s="19" t="n"/>
      <c r="Q270" s="19" t="n"/>
      <c r="R270" s="19" t="n"/>
      <c r="S270" s="19" t="n"/>
      <c r="T270" s="19" t="n"/>
      <c r="U270" s="19" t="n">
        <v>18.606775</v>
      </c>
      <c r="V270" s="19" t="n">
        <v>3111.7</v>
      </c>
      <c r="W270" s="19" t="n">
        <v>-0.2358033871710161</v>
      </c>
      <c r="X270" s="19" t="n">
        <v>-0.5272005357302159</v>
      </c>
      <c r="Y270" s="19" t="n"/>
      <c r="Z270" s="19" t="n"/>
      <c r="AA270" s="19" t="n">
        <v>0.6247021534664988</v>
      </c>
      <c r="AB270" s="19" t="n">
        <v>0.2604686782339763</v>
      </c>
      <c r="AC270" s="19" t="n"/>
      <c r="AD270" s="19" t="n"/>
      <c r="AE270" s="19" t="n">
        <v>4.791062</v>
      </c>
      <c r="AF270" s="19" t="n"/>
      <c r="AG270" s="19" t="n">
        <v>18.090117</v>
      </c>
      <c r="AH270" s="19" t="n"/>
      <c r="AI270" s="19" t="n">
        <v>17.326897</v>
      </c>
      <c r="AJ270" s="19" t="n">
        <v>17.326897</v>
      </c>
      <c r="AK270" s="19" t="n">
        <v>16.80555</v>
      </c>
      <c r="AL270" s="19" t="inlineStr">
        <is>
          <t>Equity Scheme - Sectoral/ Thematic</t>
        </is>
      </c>
      <c r="AM270" s="19" t="n">
        <v>1.8</v>
      </c>
      <c r="AN270" s="19" t="n">
        <v>0</v>
      </c>
      <c r="AO270" s="19" t="n">
        <v>0.05</v>
      </c>
      <c r="AP270" s="19" t="n">
        <v>0.08</v>
      </c>
      <c r="AQ270" s="19" t="n">
        <v>1.93</v>
      </c>
      <c r="AR270" s="19" t="n">
        <v>0.55</v>
      </c>
      <c r="AS270" s="19" t="n">
        <v>0</v>
      </c>
      <c r="AT270" s="19" t="n">
        <v>0</v>
      </c>
      <c r="AU270" s="19" t="n">
        <v>0.08</v>
      </c>
      <c r="AV270" s="19" t="n">
        <v>0.63</v>
      </c>
      <c r="AW270" s="17" t="n">
        <v>-1.601696821673031</v>
      </c>
      <c r="AX270" t="inlineStr">
        <is>
          <t>50cr</t>
        </is>
      </c>
      <c r="AY270" s="26" t="n">
        <v>0.8571254803171106</v>
      </c>
      <c r="AZ270" s="26" t="n">
        <v>1.453221061498769</v>
      </c>
      <c r="BA270" s="26" t="n">
        <v>0.537869424651934</v>
      </c>
      <c r="BB270" s="28" t="n">
        <v>3</v>
      </c>
      <c r="BC270" t="n">
        <v>1</v>
      </c>
      <c r="BD270" t="n">
        <v>0</v>
      </c>
      <c r="BE270" t="n">
        <v>1</v>
      </c>
      <c r="BF270" t="n">
        <v>0</v>
      </c>
      <c r="BG270" t="n">
        <v>0</v>
      </c>
      <c r="BH270" t="n">
        <v>1</v>
      </c>
    </row>
    <row r="271">
      <c r="A271" s="19" t="inlineStr">
        <is>
          <t>Kotak Consumption Fund</t>
        </is>
      </c>
      <c r="B271" s="19" t="inlineStr">
        <is>
          <t>sectorial:thematic</t>
        </is>
      </c>
      <c r="C271" s="19" t="inlineStr">
        <is>
          <t>Nifty India Consumption TRI</t>
        </is>
      </c>
      <c r="D271" s="19" t="inlineStr">
        <is>
          <t>Very High</t>
        </is>
      </c>
      <c r="E271" s="19" t="inlineStr">
        <is>
          <t>Very High</t>
        </is>
      </c>
      <c r="F271" s="20" t="n">
        <v>46023</v>
      </c>
      <c r="G271" s="19" t="n">
        <v>14.359</v>
      </c>
      <c r="H271" s="19" t="n">
        <v>14.858</v>
      </c>
      <c r="I271" s="19" t="n">
        <v>7.6276712</v>
      </c>
      <c r="J271" s="19" t="n">
        <v>-0.4820417999999993</v>
      </c>
      <c r="K271" s="19" t="n">
        <v>8.109712999999999</v>
      </c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>
        <v>20.442377</v>
      </c>
      <c r="V271" s="19" t="n">
        <v>1793.67</v>
      </c>
      <c r="W271" s="19" t="n">
        <v>-0.08239234872351597</v>
      </c>
      <c r="X271" s="19" t="n">
        <v>-0.3703948561308215</v>
      </c>
      <c r="Y271" s="19" t="n"/>
      <c r="Z271" s="19" t="n"/>
      <c r="AA271" s="19" t="n"/>
      <c r="AB271" s="19" t="n"/>
      <c r="AC271" s="19" t="n"/>
      <c r="AD271" s="19" t="n"/>
      <c r="AE271" s="19" t="n">
        <v>5.9626594</v>
      </c>
      <c r="AF271" s="19" t="n"/>
      <c r="AG271" s="19" t="n"/>
      <c r="AH271" s="19" t="n"/>
      <c r="AI271" s="19" t="n">
        <v>18.457304</v>
      </c>
      <c r="AJ271" s="19" t="n">
        <v>18.457304</v>
      </c>
      <c r="AK271" s="19" t="n">
        <v>18.524996</v>
      </c>
      <c r="AL271" s="19" t="inlineStr">
        <is>
          <t>Equity Scheme - Sectoral/ Thematic</t>
        </is>
      </c>
      <c r="AM271" s="19" t="n">
        <v>1.94</v>
      </c>
      <c r="AN271" s="19" t="n">
        <v>0</v>
      </c>
      <c r="AO271" s="19" t="n">
        <v>0.05</v>
      </c>
      <c r="AP271" s="19" t="n">
        <v>0.07000000000000001</v>
      </c>
      <c r="AQ271" s="19" t="n">
        <v>2.06</v>
      </c>
      <c r="AR271" s="19" t="n">
        <v>0.5</v>
      </c>
      <c r="AS271" s="19" t="n">
        <v>0</v>
      </c>
      <c r="AT271" s="19" t="n">
        <v>0</v>
      </c>
      <c r="AU271" s="19" t="n">
        <v>0.07000000000000001</v>
      </c>
      <c r="AV271" s="19" t="n">
        <v>0.57</v>
      </c>
      <c r="AW271" s="17" t="n">
        <v>-1.344728963521725</v>
      </c>
      <c r="AX271" t="inlineStr">
        <is>
          <t>24cr</t>
        </is>
      </c>
      <c r="AY271" s="26" t="n">
        <v>1.163939368610503</v>
      </c>
      <c r="AZ271" s="26" t="n">
        <v>1.453221061498769</v>
      </c>
      <c r="BA271" s="26" t="n">
        <v>0.5487095927179081</v>
      </c>
      <c r="BB271" s="28" t="n">
        <v>3</v>
      </c>
      <c r="BC271" t="n">
        <v>1</v>
      </c>
      <c r="BD271" t="n">
        <v>0</v>
      </c>
      <c r="BE271" t="n">
        <v>1</v>
      </c>
      <c r="BF271" t="n">
        <v>0</v>
      </c>
      <c r="BG271" t="n">
        <v>0</v>
      </c>
      <c r="BH271" t="n">
        <v>1</v>
      </c>
    </row>
    <row r="272">
      <c r="A272" s="19" t="inlineStr">
        <is>
          <t>Kotak Energy Opportunities Fund</t>
        </is>
      </c>
      <c r="B272" s="19" t="inlineStr">
        <is>
          <t>sectorial:thematic</t>
        </is>
      </c>
      <c r="C272" s="19" t="inlineStr">
        <is>
          <t>Nifty Energy TRI</t>
        </is>
      </c>
      <c r="D272" s="19" t="inlineStr">
        <is>
          <t>Very High</t>
        </is>
      </c>
      <c r="E272" s="19" t="inlineStr">
        <is>
          <t>Very High</t>
        </is>
      </c>
      <c r="F272" s="20" t="n">
        <v>46023</v>
      </c>
      <c r="G272" s="19" t="n">
        <v>10.253</v>
      </c>
      <c r="H272" s="19" t="n">
        <v>10.36</v>
      </c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>
        <v>266.59</v>
      </c>
      <c r="W272" s="19" t="n"/>
      <c r="X272" s="19" t="n"/>
      <c r="Y272" s="19" t="n"/>
      <c r="Z272" s="19" t="n"/>
      <c r="AA272" s="19" t="n"/>
      <c r="AB272" s="19" t="n"/>
      <c r="AC272" s="19" t="n"/>
      <c r="AD272" s="19" t="n"/>
      <c r="AE272" s="19" t="n"/>
      <c r="AF272" s="19" t="n"/>
      <c r="AG272" s="19" t="n"/>
      <c r="AH272" s="19" t="n"/>
      <c r="AI272" s="19" t="n"/>
      <c r="AJ272" s="19" t="n"/>
      <c r="AK272" s="19" t="n"/>
      <c r="AL272" s="19" t="inlineStr">
        <is>
          <t>Equity Scheme - Sectoral/ Thematic</t>
        </is>
      </c>
      <c r="AM272" s="19" t="n">
        <v>2.25</v>
      </c>
      <c r="AN272" s="19" t="n">
        <v>0</v>
      </c>
      <c r="AO272" s="19" t="n">
        <v>0.05</v>
      </c>
      <c r="AP272" s="19" t="n">
        <v>0.12</v>
      </c>
      <c r="AQ272" s="19" t="n">
        <v>2.42</v>
      </c>
      <c r="AR272" s="19" t="n">
        <v>0.77</v>
      </c>
      <c r="AS272" s="19" t="n">
        <v>0</v>
      </c>
      <c r="AT272" s="19" t="n">
        <v>0</v>
      </c>
      <c r="AU272" s="19" t="n">
        <v>0.12</v>
      </c>
      <c r="AV272" s="19" t="n">
        <v>0.89</v>
      </c>
      <c r="AW272" s="17" t="n">
        <v>-10.59304550058141</v>
      </c>
      <c r="AX272" t="inlineStr">
        <is>
          <t>28cr</t>
        </is>
      </c>
      <c r="AY272" s="26" t="n">
        <v>1.427153163918095</v>
      </c>
      <c r="AZ272" s="26" t="n">
        <v>1.453221061498769</v>
      </c>
      <c r="BA272" s="26" t="n">
        <v>0.6389454707911851</v>
      </c>
      <c r="BB272" s="28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</row>
    <row r="273">
      <c r="A273" s="19" t="inlineStr">
        <is>
          <t>Kotak ESG Exclusionary Strategy Fund</t>
        </is>
      </c>
      <c r="B273" s="19" t="inlineStr">
        <is>
          <t>sectorial:thematic</t>
        </is>
      </c>
      <c r="C273" s="19" t="inlineStr">
        <is>
          <t>Nifty 100 ESG TRI</t>
        </is>
      </c>
      <c r="D273" s="19" t="inlineStr">
        <is>
          <t>Very High</t>
        </is>
      </c>
      <c r="E273" s="19" t="inlineStr">
        <is>
          <t>Very High</t>
        </is>
      </c>
      <c r="F273" s="20" t="n">
        <v>46023</v>
      </c>
      <c r="G273" s="19" t="n">
        <v>17.781</v>
      </c>
      <c r="H273" s="19" t="n">
        <v>19.284</v>
      </c>
      <c r="I273" s="19" t="n">
        <v>9.574408</v>
      </c>
      <c r="J273" s="19" t="n">
        <v>-2.21228</v>
      </c>
      <c r="K273" s="19" t="n">
        <v>11.786688</v>
      </c>
      <c r="L273" s="19" t="n">
        <v>15.288152</v>
      </c>
      <c r="M273" s="19" t="n">
        <v>-0.7042190000000002</v>
      </c>
      <c r="N273" s="19" t="n">
        <v>15.992371</v>
      </c>
      <c r="O273" s="19" t="n">
        <v>13.746579</v>
      </c>
      <c r="P273" s="19" t="n">
        <v>-1.072061</v>
      </c>
      <c r="Q273" s="19" t="n">
        <v>14.81864</v>
      </c>
      <c r="R273" s="19" t="n"/>
      <c r="S273" s="19" t="n"/>
      <c r="T273" s="19" t="n"/>
      <c r="U273" s="19" t="n">
        <v>13.825148</v>
      </c>
      <c r="V273" s="19" t="n">
        <v>854.33</v>
      </c>
      <c r="W273" s="19" t="n">
        <v>-0.7190606383324407</v>
      </c>
      <c r="X273" s="19" t="n">
        <v>-1.208270403018407</v>
      </c>
      <c r="Y273" s="19" t="n"/>
      <c r="Z273" s="19" t="n"/>
      <c r="AA273" s="19" t="n">
        <v>-0.1858694740882535</v>
      </c>
      <c r="AB273" s="19" t="n">
        <v>-0.6447307096384247</v>
      </c>
      <c r="AC273" s="19" t="n">
        <v>-0.2603762541325197</v>
      </c>
      <c r="AD273" s="19" t="n">
        <v>-0.6854208177633462</v>
      </c>
      <c r="AE273" s="19" t="n">
        <v>8.0255165</v>
      </c>
      <c r="AF273" s="19" t="n"/>
      <c r="AG273" s="19" t="n">
        <v>13.550762</v>
      </c>
      <c r="AH273" s="19" t="n">
        <v>11.940796</v>
      </c>
      <c r="AI273" s="19" t="n">
        <v>15.761175</v>
      </c>
      <c r="AJ273" s="19" t="n">
        <v>15.761175</v>
      </c>
      <c r="AK273" s="19" t="n">
        <v>12.018315</v>
      </c>
      <c r="AL273" s="19" t="inlineStr">
        <is>
          <t>Equity Scheme - Sectoral/ Thematic</t>
        </is>
      </c>
      <c r="AM273" s="19" t="n">
        <v>2.13</v>
      </c>
      <c r="AN273" s="19" t="n">
        <v>0</v>
      </c>
      <c r="AO273" s="19" t="n">
        <v>0.05</v>
      </c>
      <c r="AP273" s="19" t="n">
        <v>0.12</v>
      </c>
      <c r="AQ273" s="19" t="n">
        <v>2.3</v>
      </c>
      <c r="AR273" s="19" t="n">
        <v>0.8100000000000001</v>
      </c>
      <c r="AS273" s="19" t="n">
        <v>0</v>
      </c>
      <c r="AT273" s="19" t="n">
        <v>0</v>
      </c>
      <c r="AU273" s="19" t="n">
        <v>0.12</v>
      </c>
      <c r="AV273" s="19" t="n">
        <v>0.93</v>
      </c>
      <c r="AW273" s="17" t="n">
        <v>1.500591106481095</v>
      </c>
      <c r="AX273" s="18" t="inlineStr">
        <is>
          <t>-13cr</t>
        </is>
      </c>
      <c r="AY273" s="26" t="n">
        <v>1.113232420600155</v>
      </c>
      <c r="AZ273" s="26" t="n">
        <v>1.453221061498769</v>
      </c>
      <c r="BA273" s="26" t="n">
        <v>0.4977026837523095</v>
      </c>
      <c r="BB273" s="28" t="n">
        <v>3</v>
      </c>
      <c r="BC273" t="n">
        <v>1</v>
      </c>
      <c r="BD273" t="n">
        <v>1</v>
      </c>
      <c r="BE273" t="n">
        <v>0</v>
      </c>
      <c r="BF273" t="n">
        <v>0</v>
      </c>
      <c r="BG273" t="n">
        <v>0</v>
      </c>
      <c r="BH273" t="n">
        <v>1</v>
      </c>
    </row>
    <row r="274">
      <c r="A274" s="19" t="inlineStr">
        <is>
          <t>Kotak Healthcare Fund</t>
        </is>
      </c>
      <c r="B274" s="19" t="inlineStr">
        <is>
          <t>sectorial:thematic</t>
        </is>
      </c>
      <c r="C274" s="19" t="inlineStr">
        <is>
          <t>NIFTY Healthcare TRI</t>
        </is>
      </c>
      <c r="D274" s="19" t="inlineStr">
        <is>
          <t>Very High</t>
        </is>
      </c>
      <c r="E274" s="19" t="inlineStr">
        <is>
          <t>Very High</t>
        </is>
      </c>
      <c r="F274" s="20" t="n">
        <v>46023</v>
      </c>
      <c r="G274" s="19" t="n">
        <v>13.292</v>
      </c>
      <c r="H274" s="19" t="n">
        <v>13.75</v>
      </c>
      <c r="I274" s="19" t="n">
        <v>-5.912139</v>
      </c>
      <c r="J274" s="19" t="n">
        <v>-3.9128595</v>
      </c>
      <c r="K274" s="19" t="n">
        <v>-1.9992795</v>
      </c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>
        <v>16.739462</v>
      </c>
      <c r="V274" s="19" t="n">
        <v>469.28</v>
      </c>
      <c r="W274" s="19" t="n">
        <v>-0.7862578827840255</v>
      </c>
      <c r="X274" s="19" t="n">
        <v>-1.098032319920696</v>
      </c>
      <c r="Y274" s="19" t="n"/>
      <c r="Z274" s="19" t="n"/>
      <c r="AA274" s="19" t="n"/>
      <c r="AB274" s="19" t="n"/>
      <c r="AC274" s="19" t="n"/>
      <c r="AD274" s="19" t="n"/>
      <c r="AE274" s="19" t="n">
        <v>-7.4244323</v>
      </c>
      <c r="AF274" s="19" t="n"/>
      <c r="AG274" s="19" t="n"/>
      <c r="AH274" s="19" t="n"/>
      <c r="AI274" s="19" t="n">
        <v>19.931978</v>
      </c>
      <c r="AJ274" s="19" t="n">
        <v>19.931978</v>
      </c>
      <c r="AK274" s="19" t="n">
        <v>14.833131</v>
      </c>
      <c r="AL274" s="19" t="inlineStr">
        <is>
          <t>Equity Scheme - Sectoral/ Thematic</t>
        </is>
      </c>
      <c r="AM274" s="19" t="n">
        <v>2.25</v>
      </c>
      <c r="AN274" s="19" t="n">
        <v>0</v>
      </c>
      <c r="AO274" s="19" t="n">
        <v>0.05</v>
      </c>
      <c r="AP274" s="19" t="n">
        <v>0.04</v>
      </c>
      <c r="AQ274" s="19" t="n">
        <v>2.34</v>
      </c>
      <c r="AR274" s="19" t="n">
        <v>0.7</v>
      </c>
      <c r="AS274" s="19" t="n">
        <v>0</v>
      </c>
      <c r="AT274" s="19" t="n">
        <v>0</v>
      </c>
      <c r="AU274" s="19" t="n">
        <v>0.04</v>
      </c>
      <c r="AV274" s="19" t="n">
        <v>0.74</v>
      </c>
      <c r="AW274" s="17" t="n">
        <v>1.998806682577577</v>
      </c>
      <c r="AX274" s="18" t="inlineStr">
        <is>
          <t>-9cr</t>
        </is>
      </c>
      <c r="AY274" s="26" t="n">
        <v>1.27847150246416</v>
      </c>
      <c r="AZ274" s="26" t="n">
        <v>1.453221061498769</v>
      </c>
      <c r="BA274" s="26" t="n">
        <v>0.6162419127038464</v>
      </c>
      <c r="BB274" s="28" t="n">
        <v>3</v>
      </c>
      <c r="BC274" t="n">
        <v>0</v>
      </c>
      <c r="BD274" t="n">
        <v>1</v>
      </c>
      <c r="BE274" t="n">
        <v>1</v>
      </c>
      <c r="BF274" t="n">
        <v>0</v>
      </c>
      <c r="BG274" t="n">
        <v>0</v>
      </c>
      <c r="BH274" t="n">
        <v>1</v>
      </c>
    </row>
    <row r="275">
      <c r="A275" s="19" t="inlineStr">
        <is>
          <t>Kotak Infrastructure and Economic Reform Fund</t>
        </is>
      </c>
      <c r="B275" s="19" t="inlineStr">
        <is>
          <t>sectorial:thematic</t>
        </is>
      </c>
      <c r="C275" s="19" t="inlineStr">
        <is>
          <t>Nifty Infrastructure TRI</t>
        </is>
      </c>
      <c r="D275" s="19" t="inlineStr">
        <is>
          <t>Very High</t>
        </is>
      </c>
      <c r="E275" s="19" t="inlineStr">
        <is>
          <t>Very High</t>
        </is>
      </c>
      <c r="F275" s="20" t="n">
        <v>46023</v>
      </c>
      <c r="G275" s="19" t="n">
        <v>65.77500000000001</v>
      </c>
      <c r="H275" s="19" t="n">
        <v>78.09099999999999</v>
      </c>
      <c r="I275" s="19" t="n">
        <v>-2.1072557</v>
      </c>
      <c r="J275" s="19" t="n">
        <v>-16.9934367</v>
      </c>
      <c r="K275" s="19" t="n">
        <v>14.886181</v>
      </c>
      <c r="L275" s="19" t="n">
        <v>22.37926</v>
      </c>
      <c r="M275" s="19" t="n">
        <v>-1.138377000000002</v>
      </c>
      <c r="N275" s="19" t="n">
        <v>23.517637</v>
      </c>
      <c r="O275" s="19" t="n">
        <v>27.81728</v>
      </c>
      <c r="P275" s="19" t="n">
        <v>5.160074000000002</v>
      </c>
      <c r="Q275" s="19" t="n">
        <v>22.657206</v>
      </c>
      <c r="R275" s="19" t="n">
        <v>17.506044</v>
      </c>
      <c r="S275" s="19" t="n">
        <v>2.722774999999999</v>
      </c>
      <c r="T275" s="19" t="n">
        <v>14.783269</v>
      </c>
      <c r="U275" s="19" t="n">
        <v>18.012804</v>
      </c>
      <c r="V275" s="19" t="n">
        <v>2366.94</v>
      </c>
      <c r="W275" s="19" t="n">
        <v>-1.964747666382985</v>
      </c>
      <c r="X275" s="19" t="n">
        <v>-2.131150778704227</v>
      </c>
      <c r="Y275" s="19" t="n">
        <v>0.2194568707673066</v>
      </c>
      <c r="Z275" s="19" t="n">
        <v>0.06067917980834153</v>
      </c>
      <c r="AA275" s="19" t="n">
        <v>-0.1247771779296524</v>
      </c>
      <c r="AB275" s="19" t="n">
        <v>-0.3002359865422854</v>
      </c>
      <c r="AC275" s="19" t="n">
        <v>0.49582480236115</v>
      </c>
      <c r="AD275" s="19" t="n">
        <v>0.3230653047115158</v>
      </c>
      <c r="AE275" s="19" t="n">
        <v>-3.4013305</v>
      </c>
      <c r="AF275" s="19" t="n">
        <v>15.845429</v>
      </c>
      <c r="AG275" s="19" t="n">
        <v>20.705383</v>
      </c>
      <c r="AH275" s="19" t="n">
        <v>26.064869</v>
      </c>
      <c r="AI275" s="19" t="n">
        <v>5.3574595</v>
      </c>
      <c r="AJ275" s="19" t="n">
        <v>12.025623</v>
      </c>
      <c r="AK275" s="19" t="n">
        <v>11.121054</v>
      </c>
      <c r="AL275" s="19" t="inlineStr">
        <is>
          <t>Equity Scheme - Sectoral/ Thematic</t>
        </is>
      </c>
      <c r="AM275" s="19" t="n">
        <v>1.87</v>
      </c>
      <c r="AN275" s="19" t="n">
        <v>0</v>
      </c>
      <c r="AO275" s="19" t="n">
        <v>0.05</v>
      </c>
      <c r="AP275" s="19" t="n">
        <v>0.09</v>
      </c>
      <c r="AQ275" s="19" t="n">
        <v>2.01</v>
      </c>
      <c r="AR275" s="19" t="n">
        <v>0.6</v>
      </c>
      <c r="AS275" s="19" t="n">
        <v>0</v>
      </c>
      <c r="AT275" s="19" t="n">
        <v>0</v>
      </c>
      <c r="AU275" s="19" t="n">
        <v>0.09</v>
      </c>
      <c r="AV275" s="19" t="n">
        <v>0.6899999999999999</v>
      </c>
      <c r="AW275" s="17" t="n">
        <v>0.3515086989953342</v>
      </c>
      <c r="AX275" s="18" t="inlineStr">
        <is>
          <t>-8cr</t>
        </is>
      </c>
      <c r="AY275" s="26" t="n">
        <v>1.336182354664948</v>
      </c>
      <c r="AZ275" s="26" t="n">
        <v>1.453221061498769</v>
      </c>
      <c r="BA275" s="26" t="n">
        <v>0.5945653512026037</v>
      </c>
      <c r="BB275" s="28" t="n">
        <v>3</v>
      </c>
      <c r="BC275" t="n">
        <v>0</v>
      </c>
      <c r="BD275" t="n">
        <v>1</v>
      </c>
      <c r="BE275" t="n">
        <v>1</v>
      </c>
      <c r="BF275" t="n">
        <v>0</v>
      </c>
      <c r="BG275" t="n">
        <v>0</v>
      </c>
      <c r="BH275" t="n">
        <v>1</v>
      </c>
    </row>
    <row r="276">
      <c r="A276" s="19" t="inlineStr">
        <is>
          <t>Kotak Manufacture In India Fund</t>
        </is>
      </c>
      <c r="B276" s="19" t="inlineStr">
        <is>
          <t>sectorial:thematic</t>
        </is>
      </c>
      <c r="C276" s="19" t="inlineStr">
        <is>
          <t>Nifty India Manufacturing TRI</t>
        </is>
      </c>
      <c r="D276" s="19" t="inlineStr">
        <is>
          <t>Very High</t>
        </is>
      </c>
      <c r="E276" s="19" t="inlineStr">
        <is>
          <t>Very High</t>
        </is>
      </c>
      <c r="F276" s="20" t="n">
        <v>46023</v>
      </c>
      <c r="G276" s="19" t="n">
        <v>19.843</v>
      </c>
      <c r="H276" s="19" t="n">
        <v>21.083</v>
      </c>
      <c r="I276" s="19" t="n">
        <v>8.74813</v>
      </c>
      <c r="J276" s="19" t="n">
        <v>-3.302842</v>
      </c>
      <c r="K276" s="19" t="n">
        <v>12.050972</v>
      </c>
      <c r="L276" s="19" t="n">
        <v>23.332224</v>
      </c>
      <c r="M276" s="19" t="n">
        <v>-0.760078</v>
      </c>
      <c r="N276" s="19" t="n">
        <v>24.092302</v>
      </c>
      <c r="O276" s="19" t="n"/>
      <c r="P276" s="19" t="n"/>
      <c r="Q276" s="19" t="n"/>
      <c r="R276" s="19" t="n"/>
      <c r="S276" s="19" t="n"/>
      <c r="T276" s="19" t="n"/>
      <c r="U276" s="19" t="n">
        <v>21.314959</v>
      </c>
      <c r="V276" s="19" t="n">
        <v>2490.53</v>
      </c>
      <c r="W276" s="19" t="n">
        <v>-0.7710798265077439</v>
      </c>
      <c r="X276" s="19" t="n">
        <v>-1.138823960931909</v>
      </c>
      <c r="Y276" s="19" t="n"/>
      <c r="Z276" s="19" t="n"/>
      <c r="AA276" s="19" t="n">
        <v>-0.183268306141152</v>
      </c>
      <c r="AB276" s="19" t="n">
        <v>-0.6222882969218922</v>
      </c>
      <c r="AC276" s="19" t="n"/>
      <c r="AD276" s="19" t="n"/>
      <c r="AE276" s="19" t="n">
        <v>7.213097</v>
      </c>
      <c r="AF276" s="19" t="n"/>
      <c r="AG276" s="19" t="n">
        <v>21.476053</v>
      </c>
      <c r="AH276" s="19" t="n"/>
      <c r="AI276" s="19" t="n">
        <v>20.81443</v>
      </c>
      <c r="AJ276" s="19" t="n">
        <v>20.81443</v>
      </c>
      <c r="AK276" s="19" t="n">
        <v>19.424896</v>
      </c>
      <c r="AL276" s="19" t="inlineStr">
        <is>
          <t>Equity Scheme - Sectoral/ Thematic</t>
        </is>
      </c>
      <c r="AM276" s="19" t="n">
        <v>1.85</v>
      </c>
      <c r="AN276" s="19" t="n">
        <v>0</v>
      </c>
      <c r="AO276" s="19" t="n">
        <v>0.05</v>
      </c>
      <c r="AP276" s="19" t="n">
        <v>0.07000000000000001</v>
      </c>
      <c r="AQ276" s="19" t="n">
        <v>1.97</v>
      </c>
      <c r="AR276" s="19" t="n">
        <v>0.52</v>
      </c>
      <c r="AS276" s="19" t="n">
        <v>0</v>
      </c>
      <c r="AT276" s="19" t="n">
        <v>0</v>
      </c>
      <c r="AU276" s="19" t="n">
        <v>0.07000000000000001</v>
      </c>
      <c r="AV276" s="19" t="n">
        <v>0.59</v>
      </c>
      <c r="AW276" s="17" t="n">
        <v>-1.29410205859797</v>
      </c>
      <c r="AX276" t="inlineStr">
        <is>
          <t>32cr</t>
        </is>
      </c>
      <c r="AY276" s="26" t="n">
        <v>1.080466389262092</v>
      </c>
      <c r="AZ276" s="26" t="n">
        <v>1.453221061498769</v>
      </c>
      <c r="BA276" s="26" t="n">
        <v>0.5754613771910597</v>
      </c>
      <c r="BB276" s="28" t="n">
        <v>3</v>
      </c>
      <c r="BC276" t="n">
        <v>1</v>
      </c>
      <c r="BD276" t="n">
        <v>0</v>
      </c>
      <c r="BE276" t="n">
        <v>1</v>
      </c>
      <c r="BF276" t="n">
        <v>0</v>
      </c>
      <c r="BG276" t="n">
        <v>0</v>
      </c>
      <c r="BH276" t="n">
        <v>1</v>
      </c>
    </row>
    <row r="277">
      <c r="A277" s="19" t="inlineStr">
        <is>
          <t>Kotak MNC Fund</t>
        </is>
      </c>
      <c r="B277" s="19" t="inlineStr">
        <is>
          <t>sectorial:thematic</t>
        </is>
      </c>
      <c r="C277" s="19" t="inlineStr">
        <is>
          <t>Nifty MNC TRI</t>
        </is>
      </c>
      <c r="D277" s="19" t="inlineStr">
        <is>
          <t>Very High</t>
        </is>
      </c>
      <c r="E277" s="19" t="inlineStr">
        <is>
          <t>Very High</t>
        </is>
      </c>
      <c r="F277" s="20" t="n">
        <v>46023</v>
      </c>
      <c r="G277" s="19" t="n">
        <v>10.766</v>
      </c>
      <c r="H277" s="19" t="n">
        <v>10.952</v>
      </c>
      <c r="I277" s="19" t="n">
        <v>7.710464</v>
      </c>
      <c r="J277" s="19" t="n">
        <v>-2.596</v>
      </c>
      <c r="K277" s="19" t="n">
        <v>10.306464</v>
      </c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>
        <v>7.898969</v>
      </c>
      <c r="V277" s="19" t="n">
        <v>2078.96</v>
      </c>
      <c r="W277" s="19" t="n">
        <v>-0.5303152401597232</v>
      </c>
      <c r="X277" s="19" t="n">
        <v>-0.8555621383101532</v>
      </c>
      <c r="Y277" s="19" t="n"/>
      <c r="Z277" s="19" t="n"/>
      <c r="AA277" s="19" t="n"/>
      <c r="AB277" s="19" t="n"/>
      <c r="AC277" s="19" t="n"/>
      <c r="AD277" s="19" t="n"/>
      <c r="AE277" s="19" t="n">
        <v>6.1526327</v>
      </c>
      <c r="AF277" s="19" t="n"/>
      <c r="AG277" s="19" t="n"/>
      <c r="AH277" s="19" t="n"/>
      <c r="AI277" s="19" t="n">
        <v>5.4460382</v>
      </c>
      <c r="AJ277" s="19" t="n">
        <v>5.4460382</v>
      </c>
      <c r="AK277" s="19" t="n">
        <v>6.3397</v>
      </c>
      <c r="AL277" s="19" t="inlineStr">
        <is>
          <t>Equity Scheme - Sectoral/ Thematic</t>
        </is>
      </c>
      <c r="AM277" s="19" t="n">
        <v>1.91</v>
      </c>
      <c r="AN277" s="19" t="n">
        <v>0</v>
      </c>
      <c r="AO277" s="19" t="n">
        <v>0.05</v>
      </c>
      <c r="AP277" s="19" t="n">
        <v>0.08</v>
      </c>
      <c r="AQ277" s="19" t="n">
        <v>2.04</v>
      </c>
      <c r="AR277" s="19" t="n">
        <v>0.5600000000000001</v>
      </c>
      <c r="AS277" s="19" t="n">
        <v>0</v>
      </c>
      <c r="AT277" s="19" t="n">
        <v>0</v>
      </c>
      <c r="AU277" s="19" t="n">
        <v>0.08</v>
      </c>
      <c r="AV277" s="19" t="n">
        <v>0.64</v>
      </c>
      <c r="AW277" s="17" t="n">
        <v>2.244391426482465</v>
      </c>
      <c r="AX277" s="18" t="inlineStr">
        <is>
          <t>-47cr</t>
        </is>
      </c>
      <c r="AY277" s="26" t="n">
        <v>0.8594643677316482</v>
      </c>
      <c r="AZ277" s="26" t="n">
        <v>1.453221061498769</v>
      </c>
      <c r="BA277" s="26" t="n">
        <v>0.5250444615346657</v>
      </c>
      <c r="BB277" s="28" t="n">
        <v>4</v>
      </c>
      <c r="BC277" t="n">
        <v>1</v>
      </c>
      <c r="BD277" t="n">
        <v>1</v>
      </c>
      <c r="BE277" t="n">
        <v>1</v>
      </c>
      <c r="BF277" t="n">
        <v>0</v>
      </c>
      <c r="BG277" t="n">
        <v>0</v>
      </c>
      <c r="BH277" t="n">
        <v>1</v>
      </c>
    </row>
    <row r="278">
      <c r="A278" s="19" t="inlineStr">
        <is>
          <t>Kotak Quant Fund</t>
        </is>
      </c>
      <c r="B278" s="19" t="inlineStr">
        <is>
          <t>sectorial:thematic</t>
        </is>
      </c>
      <c r="C278" s="19" t="inlineStr">
        <is>
          <t>Nifty 200 TRI</t>
        </is>
      </c>
      <c r="D278" s="19" t="inlineStr">
        <is>
          <t>Very High</t>
        </is>
      </c>
      <c r="E278" s="19" t="inlineStr">
        <is>
          <t>Very High</t>
        </is>
      </c>
      <c r="F278" s="20" t="n">
        <v>46023</v>
      </c>
      <c r="G278" s="19" t="n">
        <v>15.357</v>
      </c>
      <c r="H278" s="19" t="n">
        <v>15.482</v>
      </c>
      <c r="I278" s="19" t="n">
        <v>4.3824162</v>
      </c>
      <c r="J278" s="19" t="n">
        <v>-4.934224800000001</v>
      </c>
      <c r="K278" s="19" t="n">
        <v>9.316641000000001</v>
      </c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>
        <v>19.80297</v>
      </c>
      <c r="V278" s="19" t="n">
        <v>563.73</v>
      </c>
      <c r="W278" s="19" t="n">
        <v>-0.992594168234604</v>
      </c>
      <c r="X278" s="19" t="n">
        <v>-1.098597020802707</v>
      </c>
      <c r="Y278" s="19" t="n"/>
      <c r="Z278" s="19" t="n"/>
      <c r="AA278" s="19" t="n"/>
      <c r="AB278" s="19" t="n"/>
      <c r="AC278" s="19" t="n"/>
      <c r="AD278" s="19" t="n"/>
      <c r="AE278" s="19" t="n">
        <v>3.8828385</v>
      </c>
      <c r="AF278" s="19" t="n"/>
      <c r="AG278" s="19" t="n"/>
      <c r="AH278" s="19" t="n"/>
      <c r="AI278" s="19" t="n">
        <v>16.424763</v>
      </c>
      <c r="AJ278" s="19" t="n">
        <v>16.424763</v>
      </c>
      <c r="AK278" s="19" t="n">
        <v>19.402182</v>
      </c>
      <c r="AL278" s="19" t="inlineStr">
        <is>
          <t>Equity Scheme - Sectoral/ Thematic</t>
        </is>
      </c>
      <c r="AM278" s="19" t="n">
        <v>1.6</v>
      </c>
      <c r="AN278" s="19" t="n">
        <v>0</v>
      </c>
      <c r="AO278" s="19" t="n">
        <v>0.05</v>
      </c>
      <c r="AP278" s="19" t="n">
        <v>0.16</v>
      </c>
      <c r="AQ278" s="19" t="n">
        <v>1.81</v>
      </c>
      <c r="AR278" s="19" t="n">
        <v>1</v>
      </c>
      <c r="AS278" s="19" t="n">
        <v>0</v>
      </c>
      <c r="AT278" s="19" t="n">
        <v>0</v>
      </c>
      <c r="AU278" s="19" t="n">
        <v>0.16</v>
      </c>
      <c r="AV278" s="19" t="n">
        <v>1.16</v>
      </c>
      <c r="AW278" s="17" t="n">
        <v>2.710517446295207</v>
      </c>
      <c r="AX278" s="18" t="inlineStr">
        <is>
          <t>-15cr</t>
        </is>
      </c>
      <c r="AY278" s="26" t="n">
        <v>0.9586237409919443</v>
      </c>
      <c r="AZ278" s="26" t="n">
        <v>1.453221061498769</v>
      </c>
      <c r="BA278" s="26" t="n">
        <v>0.5360834191015078</v>
      </c>
      <c r="BB278" s="28" t="n">
        <v>3</v>
      </c>
      <c r="BC278" t="n">
        <v>1</v>
      </c>
      <c r="BD278" t="n">
        <v>1</v>
      </c>
      <c r="BE278" t="n">
        <v>0</v>
      </c>
      <c r="BF278" t="n">
        <v>0</v>
      </c>
      <c r="BG278" t="n">
        <v>0</v>
      </c>
      <c r="BH278" t="n">
        <v>1</v>
      </c>
    </row>
    <row r="279">
      <c r="A279" s="19" t="inlineStr">
        <is>
          <t>Kotak Rural Opportunities Fund</t>
        </is>
      </c>
      <c r="B279" s="19" t="inlineStr">
        <is>
          <t>sectorial:thematic</t>
        </is>
      </c>
      <c r="C279" s="19" t="inlineStr">
        <is>
          <t>Nifty Rural TRI</t>
        </is>
      </c>
      <c r="D279" s="19" t="inlineStr">
        <is>
          <t>Very High</t>
        </is>
      </c>
      <c r="E279" s="19" t="inlineStr">
        <is>
          <t>Very High</t>
        </is>
      </c>
      <c r="F279" s="20" t="n">
        <v>46023</v>
      </c>
      <c r="G279" s="19" t="n">
        <v>10.199</v>
      </c>
      <c r="H279" s="19" t="n">
        <v>10.214</v>
      </c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>
        <v>906.84</v>
      </c>
      <c r="W279" s="19" t="n"/>
      <c r="X279" s="19" t="n"/>
      <c r="Y279" s="19" t="n"/>
      <c r="Z279" s="19" t="n"/>
      <c r="AA279" s="19" t="n"/>
      <c r="AB279" s="19" t="n"/>
      <c r="AC279" s="19" t="n"/>
      <c r="AD279" s="19" t="n"/>
      <c r="AE279" s="19" t="n"/>
      <c r="AF279" s="19" t="n"/>
      <c r="AG279" s="19" t="n"/>
      <c r="AH279" s="19" t="n"/>
      <c r="AI279" s="19" t="n"/>
      <c r="AJ279" s="19" t="n"/>
      <c r="AK279" s="19" t="n"/>
      <c r="AL279" s="19" t="inlineStr">
        <is>
          <t>Equity Scheme - Sectoral/ Thematic</t>
        </is>
      </c>
      <c r="AM279" s="19" t="n">
        <v>2.11</v>
      </c>
      <c r="AN279" s="19" t="n">
        <v>0</v>
      </c>
      <c r="AO279" s="19" t="n">
        <v>0.05</v>
      </c>
      <c r="AP279" s="19" t="n">
        <v>0.11</v>
      </c>
      <c r="AQ279" s="19" t="n">
        <v>2.27</v>
      </c>
      <c r="AR279" s="19" t="n">
        <v>0.6</v>
      </c>
      <c r="AS279" s="19" t="n">
        <v>0</v>
      </c>
      <c r="AT279" s="19" t="n">
        <v>0</v>
      </c>
      <c r="AU279" s="19" t="n">
        <v>0.11</v>
      </c>
      <c r="AV279" s="19" t="n">
        <v>0.71</v>
      </c>
      <c r="AY279" s="26" t="n">
        <v>0.4811618583895051</v>
      </c>
      <c r="AZ279" s="26" t="n">
        <v>1.453221061498769</v>
      </c>
      <c r="BA279" s="26" t="n">
        <v>0.1952426505019486</v>
      </c>
      <c r="BB279" s="28" t="n">
        <v>2</v>
      </c>
      <c r="BC279" t="n">
        <v>0</v>
      </c>
      <c r="BD279" t="n">
        <v>0</v>
      </c>
      <c r="BE279" t="n">
        <v>1</v>
      </c>
      <c r="BF279" t="n">
        <v>0</v>
      </c>
      <c r="BG279" t="n">
        <v>0</v>
      </c>
      <c r="BH279" t="n">
        <v>1</v>
      </c>
    </row>
    <row r="280">
      <c r="A280" s="19" t="inlineStr">
        <is>
          <t>Kotak Special Opportunities Fund</t>
        </is>
      </c>
      <c r="B280" s="19" t="inlineStr">
        <is>
          <t>sectorial:thematic</t>
        </is>
      </c>
      <c r="C280" s="19" t="inlineStr">
        <is>
          <t>Nifty 500 TRI</t>
        </is>
      </c>
      <c r="D280" s="19" t="inlineStr">
        <is>
          <t>Very High</t>
        </is>
      </c>
      <c r="E280" s="19" t="inlineStr">
        <is>
          <t>Very High</t>
        </is>
      </c>
      <c r="F280" s="20" t="n">
        <v>46023</v>
      </c>
      <c r="G280" s="19" t="n">
        <v>10.092</v>
      </c>
      <c r="H280" s="19" t="n">
        <v>10.306</v>
      </c>
      <c r="I280" s="19" t="n">
        <v>2.353759</v>
      </c>
      <c r="J280" s="19" t="n">
        <v>-5.0652693</v>
      </c>
      <c r="K280" s="19" t="n">
        <v>7.4190283</v>
      </c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>
        <v>2.016713</v>
      </c>
      <c r="V280" s="19" t="n">
        <v>1632.36</v>
      </c>
      <c r="W280" s="19" t="n">
        <v>-0.7195602527467684</v>
      </c>
      <c r="X280" s="19" t="n">
        <v>-0.935957153858277</v>
      </c>
      <c r="Y280" s="19" t="n"/>
      <c r="Z280" s="19" t="n"/>
      <c r="AA280" s="19" t="n"/>
      <c r="AB280" s="19" t="n"/>
      <c r="AC280" s="19" t="n"/>
      <c r="AD280" s="19" t="n"/>
      <c r="AE280" s="19" t="n">
        <v>0.9502851</v>
      </c>
      <c r="AF280" s="19" t="n"/>
      <c r="AG280" s="19" t="n"/>
      <c r="AH280" s="19" t="n"/>
      <c r="AI280" s="19" t="n">
        <v>4.8923917</v>
      </c>
      <c r="AJ280" s="19" t="n">
        <v>4.8923917</v>
      </c>
      <c r="AK280" s="19" t="n">
        <v>0.6084948999999999</v>
      </c>
      <c r="AL280" s="19" t="inlineStr">
        <is>
          <t>Equity Scheme - Sectoral/ Thematic</t>
        </is>
      </c>
      <c r="AM280" s="19" t="n">
        <v>1.97</v>
      </c>
      <c r="AN280" s="19" t="n">
        <v>0</v>
      </c>
      <c r="AO280" s="19" t="n">
        <v>0.05</v>
      </c>
      <c r="AP280" s="19" t="n">
        <v>0.1</v>
      </c>
      <c r="AQ280" s="19" t="n">
        <v>2.12</v>
      </c>
      <c r="AR280" s="19" t="n">
        <v>0.6899999999999999</v>
      </c>
      <c r="AS280" s="19" t="n">
        <v>0</v>
      </c>
      <c r="AT280" s="19" t="n">
        <v>0</v>
      </c>
      <c r="AU280" s="19" t="n">
        <v>0.1</v>
      </c>
      <c r="AV280" s="19" t="n">
        <v>0.79</v>
      </c>
      <c r="AW280" s="17" t="n">
        <v>6.752187017569655</v>
      </c>
      <c r="AX280" s="18" t="inlineStr">
        <is>
          <t>-110cr</t>
        </is>
      </c>
      <c r="AY280" s="26" t="n">
        <v>1.20934281825422</v>
      </c>
      <c r="AZ280" s="26" t="n">
        <v>1.453221061498769</v>
      </c>
      <c r="BA280" s="26" t="n">
        <v>0.65484665909883</v>
      </c>
      <c r="BB280" s="28" t="n">
        <v>3</v>
      </c>
      <c r="BC280" t="n">
        <v>0</v>
      </c>
      <c r="BD280" t="n">
        <v>1</v>
      </c>
      <c r="BE280" t="n">
        <v>1</v>
      </c>
      <c r="BF280" t="n">
        <v>0</v>
      </c>
      <c r="BG280" t="n">
        <v>0</v>
      </c>
      <c r="BH280" t="n">
        <v>1</v>
      </c>
    </row>
    <row r="281">
      <c r="A281" s="19" t="inlineStr">
        <is>
          <t>Kotak Technology Fund</t>
        </is>
      </c>
      <c r="B281" s="19" t="inlineStr">
        <is>
          <t>sectorial:thematic</t>
        </is>
      </c>
      <c r="C281" s="19" t="inlineStr">
        <is>
          <t>BSE Teck TRI</t>
        </is>
      </c>
      <c r="D281" s="19" t="inlineStr">
        <is>
          <t>Very High</t>
        </is>
      </c>
      <c r="E281" s="19" t="inlineStr">
        <is>
          <t>Very High</t>
        </is>
      </c>
      <c r="F281" s="20" t="n">
        <v>46023</v>
      </c>
      <c r="G281" s="19" t="n">
        <v>11.913</v>
      </c>
      <c r="H281" s="19" t="n">
        <v>12.234</v>
      </c>
      <c r="I281" s="19" t="n">
        <v>-4.0244765</v>
      </c>
      <c r="J281" s="19" t="n">
        <v>-1.3741705</v>
      </c>
      <c r="K281" s="19" t="n">
        <v>-2.650306</v>
      </c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>
        <v>11.647254</v>
      </c>
      <c r="V281" s="19" t="n">
        <v>666.4299999999999</v>
      </c>
      <c r="W281" s="19" t="n">
        <v>-0.3199036115434989</v>
      </c>
      <c r="X281" s="19" t="n">
        <v>-0.6276673784890845</v>
      </c>
      <c r="Y281" s="19" t="n"/>
      <c r="Z281" s="19" t="n"/>
      <c r="AA281" s="19" t="n"/>
      <c r="AB281" s="19" t="n"/>
      <c r="AC281" s="19" t="n"/>
      <c r="AD281" s="19" t="n"/>
      <c r="AE281" s="19" t="n">
        <v>-5.422356</v>
      </c>
      <c r="AF281" s="19" t="n"/>
      <c r="AG281" s="19" t="n"/>
      <c r="AH281" s="19" t="n"/>
      <c r="AI281" s="19" t="n">
        <v>7.7876067</v>
      </c>
      <c r="AJ281" s="19" t="n">
        <v>7.7876067</v>
      </c>
      <c r="AK281" s="19" t="n">
        <v>10.036939</v>
      </c>
      <c r="AL281" s="19" t="inlineStr">
        <is>
          <t>Equity Scheme - Sectoral/ Thematic</t>
        </is>
      </c>
      <c r="AM281" s="19" t="n">
        <v>2.19</v>
      </c>
      <c r="AN281" s="19" t="n">
        <v>0</v>
      </c>
      <c r="AO281" s="19" t="n">
        <v>0.05</v>
      </c>
      <c r="AP281" s="19" t="n">
        <v>0.08</v>
      </c>
      <c r="AQ281" s="19" t="n">
        <v>2.32</v>
      </c>
      <c r="AR281" s="19" t="n">
        <v>0.8</v>
      </c>
      <c r="AS281" s="19" t="n">
        <v>0</v>
      </c>
      <c r="AT281" s="19" t="n">
        <v>0</v>
      </c>
      <c r="AU281" s="19" t="n">
        <v>0.08</v>
      </c>
      <c r="AV281" s="19" t="n">
        <v>0.88</v>
      </c>
      <c r="AW281" s="17" t="n">
        <v>-4.569122038323595</v>
      </c>
      <c r="AX281" t="inlineStr">
        <is>
          <t>30cr</t>
        </is>
      </c>
      <c r="AY281" s="26" t="n">
        <v>2.835371222666912</v>
      </c>
      <c r="AZ281" s="26" t="n">
        <v>1.453221061498769</v>
      </c>
      <c r="BA281" s="26" t="n">
        <v>0.7367936415915284</v>
      </c>
      <c r="BB281" s="28" t="n">
        <v>1</v>
      </c>
      <c r="BC281" t="n">
        <v>0</v>
      </c>
      <c r="BD281" t="n">
        <v>0</v>
      </c>
      <c r="BE281" t="n">
        <v>1</v>
      </c>
      <c r="BF281" t="n">
        <v>0</v>
      </c>
      <c r="BG281" t="n">
        <v>0</v>
      </c>
      <c r="BH281" t="n">
        <v>0</v>
      </c>
    </row>
    <row r="282">
      <c r="A282" s="19" t="inlineStr">
        <is>
          <t>Kotak Transportation &amp; Logistics Fund</t>
        </is>
      </c>
      <c r="B282" s="19" t="inlineStr">
        <is>
          <t>sectorial:thematic</t>
        </is>
      </c>
      <c r="C282" s="19" t="inlineStr">
        <is>
          <t>Nifty Transportation &amp; Logistics TRI</t>
        </is>
      </c>
      <c r="D282" s="19" t="inlineStr">
        <is>
          <t>Very High</t>
        </is>
      </c>
      <c r="E282" s="19" t="inlineStr">
        <is>
          <t>Very High</t>
        </is>
      </c>
      <c r="F282" s="20" t="n">
        <v>46023</v>
      </c>
      <c r="G282" s="19" t="n">
        <v>11.736</v>
      </c>
      <c r="H282" s="19" t="n">
        <v>11.932</v>
      </c>
      <c r="I282" s="19" t="n">
        <v>18.986837</v>
      </c>
      <c r="J282" s="19" t="n">
        <v>1.808063000000001</v>
      </c>
      <c r="K282" s="19" t="n">
        <v>17.178774</v>
      </c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>
        <v>18.438171</v>
      </c>
      <c r="V282" s="19" t="n">
        <v>583.64</v>
      </c>
      <c r="W282" s="19" t="n">
        <v>0.1923916155054117</v>
      </c>
      <c r="X282" s="19" t="n">
        <v>-0.06570493193594321</v>
      </c>
      <c r="Y282" s="19" t="n"/>
      <c r="Z282" s="19" t="n"/>
      <c r="AA282" s="19" t="n"/>
      <c r="AB282" s="19" t="n"/>
      <c r="AC282" s="19" t="n"/>
      <c r="AD282" s="19" t="n"/>
      <c r="AE282" s="19" t="n">
        <v>17.114061</v>
      </c>
      <c r="AF282" s="19" t="n"/>
      <c r="AG282" s="19" t="n"/>
      <c r="AH282" s="19" t="n"/>
      <c r="AI282" s="19" t="n">
        <v>12.902286</v>
      </c>
      <c r="AJ282" s="19" t="n">
        <v>12.902286</v>
      </c>
      <c r="AK282" s="19" t="n">
        <v>16.573711</v>
      </c>
      <c r="AL282" s="19" t="inlineStr">
        <is>
          <t>Equity Scheme - Sectoral/ Thematic</t>
        </is>
      </c>
      <c r="AM282" s="19" t="n">
        <v>2.23</v>
      </c>
      <c r="AN282" s="19" t="n">
        <v>0</v>
      </c>
      <c r="AO282" s="19" t="n">
        <v>0.05</v>
      </c>
      <c r="AP282" s="19" t="n">
        <v>0.11</v>
      </c>
      <c r="AQ282" s="19" t="n">
        <v>2.39</v>
      </c>
      <c r="AR282" s="19" t="n">
        <v>0.72</v>
      </c>
      <c r="AS282" s="19" t="n">
        <v>0</v>
      </c>
      <c r="AT282" s="19" t="n">
        <v>0</v>
      </c>
      <c r="AU282" s="19" t="n">
        <v>0.11</v>
      </c>
      <c r="AV282" s="19" t="n">
        <v>0.83</v>
      </c>
      <c r="AW282" s="17" t="n">
        <v>-4.579878006990614</v>
      </c>
      <c r="AX282" t="inlineStr">
        <is>
          <t>27cr</t>
        </is>
      </c>
      <c r="AY282" s="26" t="n">
        <v>0.8513192266376224</v>
      </c>
      <c r="AZ282" s="26" t="n">
        <v>1.453221061498769</v>
      </c>
      <c r="BA282" s="26" t="n">
        <v>0.5819151913415269</v>
      </c>
      <c r="BB282" s="28" t="n">
        <v>4</v>
      </c>
      <c r="BC282" t="n">
        <v>1</v>
      </c>
      <c r="BD282" t="n">
        <v>0</v>
      </c>
      <c r="BE282" t="n">
        <v>1</v>
      </c>
      <c r="BF282" t="n">
        <v>1</v>
      </c>
      <c r="BG282" t="n">
        <v>0</v>
      </c>
      <c r="BH282" t="n">
        <v>1</v>
      </c>
    </row>
    <row r="283">
      <c r="A283" s="19" t="inlineStr">
        <is>
          <t>LIC MF Consumption Fund</t>
        </is>
      </c>
      <c r="B283" s="19" t="inlineStr">
        <is>
          <t>sectorial:thematic</t>
        </is>
      </c>
      <c r="C283" s="19" t="inlineStr">
        <is>
          <t>Nifty India Consumption TRI</t>
        </is>
      </c>
      <c r="D283" s="19" t="inlineStr">
        <is>
          <t>Moderate</t>
        </is>
      </c>
      <c r="E283" s="19" t="inlineStr">
        <is>
          <t>Very High</t>
        </is>
      </c>
      <c r="F283" s="20" t="n">
        <v>46023</v>
      </c>
      <c r="G283" s="19" t="n">
        <v>9.928900000000001</v>
      </c>
      <c r="H283" s="19" t="n">
        <v>9.949</v>
      </c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>
        <v>525.4</v>
      </c>
      <c r="W283" s="19" t="n"/>
      <c r="X283" s="19" t="n"/>
      <c r="Y283" s="19" t="n"/>
      <c r="Z283" s="19" t="n"/>
      <c r="AA283" s="19" t="n"/>
      <c r="AB283" s="19" t="n"/>
      <c r="AC283" s="19" t="n"/>
      <c r="AD283" s="19" t="n"/>
      <c r="AE283" s="19" t="n"/>
      <c r="AF283" s="19" t="n"/>
      <c r="AG283" s="19" t="n"/>
      <c r="AH283" s="19" t="n"/>
      <c r="AI283" s="19" t="n"/>
      <c r="AJ283" s="19" t="n"/>
      <c r="AK283" s="19" t="n"/>
      <c r="AL283" s="19" t="inlineStr">
        <is>
          <t>Equity Scheme - Sectoral/ Thematic</t>
        </is>
      </c>
      <c r="AM283" s="19" t="n">
        <v>2.25</v>
      </c>
      <c r="AN283" s="19" t="n">
        <v>0</v>
      </c>
      <c r="AO283" s="19" t="n">
        <v>0.05</v>
      </c>
      <c r="AP283" s="19" t="n">
        <v>0.08</v>
      </c>
      <c r="AQ283" s="19" t="n">
        <v>2.38</v>
      </c>
      <c r="AR283" s="19" t="n">
        <v>0.62</v>
      </c>
      <c r="AS283" s="19" t="n">
        <v>0</v>
      </c>
      <c r="AT283" s="19" t="n">
        <v>0.05</v>
      </c>
      <c r="AU283" s="19" t="n">
        <v>0.08</v>
      </c>
      <c r="AV283" s="19" t="n">
        <v>0.75</v>
      </c>
      <c r="AY283" s="26" t="n">
        <v>0.3748437986826029</v>
      </c>
      <c r="AZ283" s="26" t="n">
        <v>1.453221061498769</v>
      </c>
      <c r="BA283" s="26" t="n">
        <v>0.2838039607475888</v>
      </c>
      <c r="BB283" s="28" t="n">
        <v>2</v>
      </c>
      <c r="BC283" t="n">
        <v>0</v>
      </c>
      <c r="BD283" t="n">
        <v>0</v>
      </c>
      <c r="BE283" t="n">
        <v>1</v>
      </c>
      <c r="BF283" t="n">
        <v>0</v>
      </c>
      <c r="BG283" t="n">
        <v>0</v>
      </c>
      <c r="BH283" t="n">
        <v>1</v>
      </c>
    </row>
    <row r="284">
      <c r="A284" s="19" t="inlineStr">
        <is>
          <t>LIC MF Healthcare Fund</t>
        </is>
      </c>
      <c r="B284" s="19" t="inlineStr">
        <is>
          <t>sectorial:thematic</t>
        </is>
      </c>
      <c r="C284" s="19" t="inlineStr">
        <is>
          <t>BSE Healthcare TRI</t>
        </is>
      </c>
      <c r="D284" s="19" t="inlineStr">
        <is>
          <t>Very High</t>
        </is>
      </c>
      <c r="E284" s="19" t="inlineStr">
        <is>
          <t>Very High</t>
        </is>
      </c>
      <c r="F284" s="20" t="n">
        <v>46023</v>
      </c>
      <c r="G284" s="19" t="n">
        <v>29.0552</v>
      </c>
      <c r="H284" s="19" t="n">
        <v>31.8933</v>
      </c>
      <c r="I284" s="19" t="n">
        <v>-3.637759</v>
      </c>
      <c r="J284" s="19" t="n">
        <v>-0.3599640000000002</v>
      </c>
      <c r="K284" s="19" t="n">
        <v>-3.277795</v>
      </c>
      <c r="L284" s="19" t="n">
        <v>21.55272</v>
      </c>
      <c r="M284" s="19" t="n">
        <v>-2.958524000000001</v>
      </c>
      <c r="N284" s="19" t="n">
        <v>24.511244</v>
      </c>
      <c r="O284" s="19" t="n">
        <v>12.862936</v>
      </c>
      <c r="P284" s="19" t="n">
        <v>-2.718467</v>
      </c>
      <c r="Q284" s="19" t="n">
        <v>15.581403</v>
      </c>
      <c r="R284" s="19" t="n"/>
      <c r="S284" s="19" t="n"/>
      <c r="T284" s="19" t="n"/>
      <c r="U284" s="19" t="n">
        <v>18.459406</v>
      </c>
      <c r="V284" s="19" t="n">
        <v>82.93000000000001</v>
      </c>
      <c r="W284" s="19" t="n">
        <v>-0.1006523201140175</v>
      </c>
      <c r="X284" s="19" t="n">
        <v>-0.3641831316577447</v>
      </c>
      <c r="Y284" s="19" t="n"/>
      <c r="Z284" s="19" t="n"/>
      <c r="AA284" s="19" t="n">
        <v>-0.5442034162082926</v>
      </c>
      <c r="AB284" s="19" t="n">
        <v>-0.8234091353580173</v>
      </c>
      <c r="AC284" s="19" t="n">
        <v>-0.6307252474197709</v>
      </c>
      <c r="AD284" s="19" t="n">
        <v>-0.9467490331218303</v>
      </c>
      <c r="AE284" s="19" t="n">
        <v>-4.8156934</v>
      </c>
      <c r="AF284" s="19" t="n"/>
      <c r="AG284" s="19" t="n">
        <v>20.069397</v>
      </c>
      <c r="AH284" s="19" t="n">
        <v>11.492941</v>
      </c>
      <c r="AI284" s="19" t="n">
        <v>19.181108</v>
      </c>
      <c r="AJ284" s="19" t="n">
        <v>19.181108</v>
      </c>
      <c r="AK284" s="19" t="n">
        <v>16.857811</v>
      </c>
      <c r="AL284" s="19" t="inlineStr">
        <is>
          <t>Equity Scheme - Sectoral/ Thematic</t>
        </is>
      </c>
      <c r="AM284" s="19" t="n">
        <v>2.25</v>
      </c>
      <c r="AN284" s="19" t="n">
        <v>0</v>
      </c>
      <c r="AO284" s="19" t="n">
        <v>0.05</v>
      </c>
      <c r="AP284" s="19" t="n">
        <v>0.14</v>
      </c>
      <c r="AQ284" s="19" t="n">
        <v>2.44</v>
      </c>
      <c r="AR284" s="19" t="n">
        <v>0.9399999999999999</v>
      </c>
      <c r="AS284" s="19" t="n">
        <v>0</v>
      </c>
      <c r="AT284" s="19" t="n">
        <v>0.05</v>
      </c>
      <c r="AU284" s="19" t="n">
        <v>0.14</v>
      </c>
      <c r="AV284" s="19" t="n">
        <v>1.13</v>
      </c>
      <c r="AW284" s="17" t="n">
        <v>2.918123718798971</v>
      </c>
      <c r="AX284" s="18" t="inlineStr">
        <is>
          <t>-2cr</t>
        </is>
      </c>
      <c r="AY284" s="26" t="n">
        <v>1.219354362374228</v>
      </c>
      <c r="AZ284" s="26" t="n">
        <v>1.453221061498769</v>
      </c>
      <c r="BA284" s="26" t="n">
        <v>0.5761153265215321</v>
      </c>
      <c r="BB284" s="28" t="n">
        <v>2</v>
      </c>
      <c r="BC284" t="n">
        <v>0</v>
      </c>
      <c r="BD284" t="n">
        <v>1</v>
      </c>
      <c r="BE284" t="n">
        <v>0</v>
      </c>
      <c r="BF284" t="n">
        <v>0</v>
      </c>
      <c r="BG284" t="n">
        <v>0</v>
      </c>
      <c r="BH284" t="n">
        <v>1</v>
      </c>
    </row>
    <row r="285">
      <c r="A285" s="19" t="inlineStr">
        <is>
          <t>LIC MF Infrastructure Fund</t>
        </is>
      </c>
      <c r="B285" s="19" t="inlineStr">
        <is>
          <t>sectorial:thematic</t>
        </is>
      </c>
      <c r="C285" s="19" t="inlineStr">
        <is>
          <t>Nifty Infrastructure TRI</t>
        </is>
      </c>
      <c r="D285" s="19" t="inlineStr">
        <is>
          <t>Very High</t>
        </is>
      </c>
      <c r="E285" s="19" t="inlineStr">
        <is>
          <t>Very High</t>
        </is>
      </c>
      <c r="F285" s="20" t="n">
        <v>46023</v>
      </c>
      <c r="G285" s="19" t="n">
        <v>49.5279</v>
      </c>
      <c r="H285" s="19" t="n">
        <v>56.9741</v>
      </c>
      <c r="I285" s="19" t="n">
        <v>-2.716967</v>
      </c>
      <c r="J285" s="19" t="n">
        <v>-17.603148</v>
      </c>
      <c r="K285" s="19" t="n">
        <v>14.886181</v>
      </c>
      <c r="L285" s="19" t="n">
        <v>28.837791</v>
      </c>
      <c r="M285" s="19" t="n">
        <v>5.320153999999999</v>
      </c>
      <c r="N285" s="19" t="n">
        <v>23.517637</v>
      </c>
      <c r="O285" s="19" t="n">
        <v>28.234024</v>
      </c>
      <c r="P285" s="19" t="n">
        <v>5.576818000000003</v>
      </c>
      <c r="Q285" s="19" t="n">
        <v>22.657206</v>
      </c>
      <c r="R285" s="19" t="n">
        <v>17.172998</v>
      </c>
      <c r="S285" s="19" t="n">
        <v>2.389728999999999</v>
      </c>
      <c r="T285" s="19" t="n">
        <v>14.783269</v>
      </c>
      <c r="U285" s="19" t="n">
        <v>15.743504</v>
      </c>
      <c r="V285" s="19" t="n">
        <v>1006.01</v>
      </c>
      <c r="W285" s="19" t="n">
        <v>-1.291632368214015</v>
      </c>
      <c r="X285" s="19" t="n">
        <v>-1.419920033107175</v>
      </c>
      <c r="Y285" s="19" t="n">
        <v>0.2088264956137951</v>
      </c>
      <c r="Z285" s="19" t="n">
        <v>0.08699769724387502</v>
      </c>
      <c r="AA285" s="19" t="n">
        <v>0.4258010745754875</v>
      </c>
      <c r="AB285" s="19" t="n">
        <v>0.3125934319526454</v>
      </c>
      <c r="AC285" s="19" t="n">
        <v>0.4714209480606848</v>
      </c>
      <c r="AD285" s="19" t="n">
        <v>0.3466776411807089</v>
      </c>
      <c r="AE285" s="19" t="n">
        <v>-4.2171016</v>
      </c>
      <c r="AF285" s="19" t="n">
        <v>15.802149</v>
      </c>
      <c r="AG285" s="19" t="n">
        <v>27.252525</v>
      </c>
      <c r="AH285" s="19" t="n">
        <v>26.655462</v>
      </c>
      <c r="AI285" s="19" t="n">
        <v>6.336994</v>
      </c>
      <c r="AJ285" s="19" t="n">
        <v>12.025623</v>
      </c>
      <c r="AK285" s="19" t="n">
        <v>9.412407999999999</v>
      </c>
      <c r="AL285" s="19" t="inlineStr">
        <is>
          <t>Equity Scheme - Sectoral/ Thematic</t>
        </is>
      </c>
      <c r="AM285" s="19" t="n">
        <v>2.08</v>
      </c>
      <c r="AN285" s="19" t="n">
        <v>0</v>
      </c>
      <c r="AO285" s="19" t="n">
        <v>0.05</v>
      </c>
      <c r="AP285" s="19" t="n">
        <v>0.12</v>
      </c>
      <c r="AQ285" s="19" t="n">
        <v>2.25</v>
      </c>
      <c r="AR285" s="19" t="n">
        <v>0.83</v>
      </c>
      <c r="AS285" s="19" t="n">
        <v>0</v>
      </c>
      <c r="AT285" s="19" t="n">
        <v>0.05</v>
      </c>
      <c r="AU285" s="19" t="n">
        <v>0.12</v>
      </c>
      <c r="AV285" s="19" t="n">
        <v>1</v>
      </c>
      <c r="AW285" s="17" t="n">
        <v>1.316090297313149</v>
      </c>
      <c r="AX285" s="18" t="inlineStr">
        <is>
          <t>-13cr</t>
        </is>
      </c>
      <c r="AY285" s="26" t="n">
        <v>1.620080480986514</v>
      </c>
      <c r="AZ285" s="26" t="n">
        <v>1.453221061498769</v>
      </c>
      <c r="BA285" s="26" t="n">
        <v>0.7129243500082659</v>
      </c>
      <c r="BB285" s="28" t="n">
        <v>1</v>
      </c>
      <c r="BC285" t="n">
        <v>0</v>
      </c>
      <c r="BD285" t="n">
        <v>1</v>
      </c>
      <c r="BE285" t="n">
        <v>0</v>
      </c>
      <c r="BF285" t="n">
        <v>0</v>
      </c>
      <c r="BG285" t="n">
        <v>0</v>
      </c>
      <c r="BH285" t="n">
        <v>0</v>
      </c>
    </row>
    <row r="286">
      <c r="A286" s="19" t="inlineStr">
        <is>
          <t>LIC MF Manufacturing Fund</t>
        </is>
      </c>
      <c r="B286" s="19" t="inlineStr">
        <is>
          <t>sectorial:thematic</t>
        </is>
      </c>
      <c r="C286" s="19" t="inlineStr">
        <is>
          <t>Nifty India Manufacturing TRI</t>
        </is>
      </c>
      <c r="D286" s="19" t="inlineStr">
        <is>
          <t>Very High</t>
        </is>
      </c>
      <c r="E286" s="19" t="inlineStr">
        <is>
          <t>Very High</t>
        </is>
      </c>
      <c r="F286" s="20" t="n">
        <v>46023</v>
      </c>
      <c r="G286" s="19" t="n">
        <v>9.948700000000001</v>
      </c>
      <c r="H286" s="19" t="n">
        <v>10.1579</v>
      </c>
      <c r="I286" s="19" t="n">
        <v>3.592845</v>
      </c>
      <c r="J286" s="19" t="n">
        <v>-8.458126999999999</v>
      </c>
      <c r="K286" s="19" t="n">
        <v>12.050972</v>
      </c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>
        <v>0.7822681</v>
      </c>
      <c r="V286" s="19" t="n">
        <v>749.0599999999999</v>
      </c>
      <c r="W286" s="19" t="n">
        <v>-0.9528389599933216</v>
      </c>
      <c r="X286" s="19" t="n">
        <v>-1.164477567309103</v>
      </c>
      <c r="Y286" s="19" t="n"/>
      <c r="Z286" s="19" t="n"/>
      <c r="AA286" s="19" t="n"/>
      <c r="AB286" s="19" t="n"/>
      <c r="AC286" s="19" t="n"/>
      <c r="AD286" s="19" t="n"/>
      <c r="AE286" s="19" t="n">
        <v>1.8624319</v>
      </c>
      <c r="AF286" s="19" t="n"/>
      <c r="AG286" s="19" t="n"/>
      <c r="AH286" s="19" t="n"/>
      <c r="AI286" s="19" t="n">
        <v>1.7821763</v>
      </c>
      <c r="AJ286" s="19" t="n">
        <v>1.7821763</v>
      </c>
      <c r="AK286" s="19" t="n">
        <v>-0.9128821499999999</v>
      </c>
      <c r="AL286" s="19" t="inlineStr">
        <is>
          <t>Equity Scheme - Sectoral/ Thematic</t>
        </is>
      </c>
      <c r="AM286" s="19" t="n">
        <v>2.18</v>
      </c>
      <c r="AN286" s="19" t="n">
        <v>0</v>
      </c>
      <c r="AO286" s="19" t="n">
        <v>0.05</v>
      </c>
      <c r="AP286" s="19" t="n">
        <v>0.1</v>
      </c>
      <c r="AQ286" s="19" t="n">
        <v>2.33</v>
      </c>
      <c r="AR286" s="19" t="n">
        <v>0.67</v>
      </c>
      <c r="AS286" s="19" t="n">
        <v>0</v>
      </c>
      <c r="AT286" s="19" t="n">
        <v>0.05</v>
      </c>
      <c r="AU286" s="19" t="n">
        <v>0.1</v>
      </c>
      <c r="AV286" s="19" t="n">
        <v>0.82</v>
      </c>
      <c r="AW286" s="17" t="n">
        <v>4.089125036712695</v>
      </c>
      <c r="AX286" s="18" t="inlineStr">
        <is>
          <t>-31cr</t>
        </is>
      </c>
      <c r="AY286" s="26" t="n">
        <v>1.227356134320876</v>
      </c>
      <c r="AZ286" s="26" t="n">
        <v>1.453221061498769</v>
      </c>
      <c r="BA286" s="26" t="n">
        <v>0.6718969275959297</v>
      </c>
      <c r="BB286" s="28" t="n">
        <v>3</v>
      </c>
      <c r="BC286" t="n">
        <v>0</v>
      </c>
      <c r="BD286" t="n">
        <v>1</v>
      </c>
      <c r="BE286" t="n">
        <v>1</v>
      </c>
      <c r="BF286" t="n">
        <v>0</v>
      </c>
      <c r="BG286" t="n">
        <v>0</v>
      </c>
      <c r="BH286" t="n">
        <v>1</v>
      </c>
    </row>
    <row r="287">
      <c r="A287" s="19" t="inlineStr">
        <is>
          <t>Mahindra Manulife Business Cycle Fund</t>
        </is>
      </c>
      <c r="B287" s="19" t="inlineStr">
        <is>
          <t>sectorial:thematic</t>
        </is>
      </c>
      <c r="C287" s="19" t="inlineStr">
        <is>
          <t>Nifty 500 TRI</t>
        </is>
      </c>
      <c r="D287" s="19" t="inlineStr">
        <is>
          <t>Very High</t>
        </is>
      </c>
      <c r="E287" s="19" t="inlineStr">
        <is>
          <t>Very High</t>
        </is>
      </c>
      <c r="F287" s="20" t="n">
        <v>46023</v>
      </c>
      <c r="G287" s="19" t="n">
        <v>15.4416</v>
      </c>
      <c r="H287" s="19" t="n">
        <v>16.0696</v>
      </c>
      <c r="I287" s="19" t="n">
        <v>8.232473000000001</v>
      </c>
      <c r="J287" s="19" t="n">
        <v>0.8134447000000007</v>
      </c>
      <c r="K287" s="19" t="n">
        <v>7.4190283</v>
      </c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>
        <v>22.799204</v>
      </c>
      <c r="V287" s="19" t="n">
        <v>1309.56</v>
      </c>
      <c r="W287" s="19" t="n">
        <v>0.2208103685260315</v>
      </c>
      <c r="X287" s="19" t="n">
        <v>-0.2063436316274045</v>
      </c>
      <c r="Y287" s="19" t="n"/>
      <c r="Z287" s="19" t="n"/>
      <c r="AA287" s="19" t="n"/>
      <c r="AB287" s="19" t="n"/>
      <c r="AC287" s="19" t="n"/>
      <c r="AD287" s="19" t="n"/>
      <c r="AE287" s="19" t="n">
        <v>6.4805746</v>
      </c>
      <c r="AF287" s="19" t="n"/>
      <c r="AG287" s="19" t="n"/>
      <c r="AH287" s="19" t="n"/>
      <c r="AI287" s="19" t="n">
        <v>15.074358</v>
      </c>
      <c r="AJ287" s="19" t="n">
        <v>15.074358</v>
      </c>
      <c r="AK287" s="19" t="n">
        <v>20.697844</v>
      </c>
      <c r="AL287" s="19" t="inlineStr">
        <is>
          <t>Equity Scheme - Sectoral/ Thematic</t>
        </is>
      </c>
      <c r="AM287" s="19" t="n">
        <v>1.99</v>
      </c>
      <c r="AN287" s="19" t="n">
        <v>0</v>
      </c>
      <c r="AO287" s="19" t="n">
        <v>0.05</v>
      </c>
      <c r="AP287" s="19" t="n">
        <v>0.06</v>
      </c>
      <c r="AQ287" s="19" t="n">
        <v>2.1</v>
      </c>
      <c r="AR287" s="19" t="n">
        <v>0.38</v>
      </c>
      <c r="AS287" s="19" t="n">
        <v>0</v>
      </c>
      <c r="AT287" s="19" t="n">
        <v>0.05</v>
      </c>
      <c r="AU287" s="19" t="n">
        <v>0.06</v>
      </c>
      <c r="AV287" s="19" t="n">
        <v>0.49</v>
      </c>
      <c r="AW287" s="17" t="n">
        <v>-1.013317450135922</v>
      </c>
      <c r="AX287" t="inlineStr">
        <is>
          <t>13cr</t>
        </is>
      </c>
      <c r="AY287" s="26" t="n">
        <v>1.85527210499355</v>
      </c>
      <c r="AZ287" s="26" t="n">
        <v>1.453221061498769</v>
      </c>
      <c r="BA287" s="26" t="n">
        <v>0.5359776305627516</v>
      </c>
      <c r="BB287" s="28" t="n">
        <v>3</v>
      </c>
      <c r="BC287" t="n">
        <v>1</v>
      </c>
      <c r="BD287" t="n">
        <v>0</v>
      </c>
      <c r="BE287" t="n">
        <v>1</v>
      </c>
      <c r="BF287" t="n">
        <v>1</v>
      </c>
      <c r="BG287" t="n">
        <v>0</v>
      </c>
      <c r="BH287" t="n">
        <v>0</v>
      </c>
    </row>
    <row r="288">
      <c r="A288" s="19" t="inlineStr">
        <is>
          <t>Mahindra Manulife Consumption Fund</t>
        </is>
      </c>
      <c r="B288" s="19" t="inlineStr">
        <is>
          <t>sectorial:thematic</t>
        </is>
      </c>
      <c r="C288" s="19" t="inlineStr">
        <is>
          <t>Nifty India Consumption TRI</t>
        </is>
      </c>
      <c r="D288" s="19" t="inlineStr">
        <is>
          <t>Very High</t>
        </is>
      </c>
      <c r="E288" s="19" t="inlineStr">
        <is>
          <t>Very High</t>
        </is>
      </c>
      <c r="F288" s="20" t="n">
        <v>46023</v>
      </c>
      <c r="G288" s="19" t="n">
        <v>22.9235</v>
      </c>
      <c r="H288" s="19" t="n">
        <v>25.8972</v>
      </c>
      <c r="I288" s="19" t="n">
        <v>1.7583704</v>
      </c>
      <c r="J288" s="19" t="n">
        <v>-6.351342599999999</v>
      </c>
      <c r="K288" s="19" t="n">
        <v>8.109712999999999</v>
      </c>
      <c r="L288" s="19" t="n">
        <v>17.845173</v>
      </c>
      <c r="M288" s="19" t="n">
        <v>-0.6615180000000009</v>
      </c>
      <c r="N288" s="19" t="n">
        <v>18.506691</v>
      </c>
      <c r="O288" s="19" t="n">
        <v>17.320784</v>
      </c>
      <c r="P288" s="19" t="n">
        <v>0.5452349999999981</v>
      </c>
      <c r="Q288" s="19" t="n">
        <v>16.775549</v>
      </c>
      <c r="R288" s="19" t="n"/>
      <c r="S288" s="19" t="n"/>
      <c r="T288" s="19" t="n"/>
      <c r="U288" s="19" t="n">
        <v>14.25646</v>
      </c>
      <c r="V288" s="19" t="n">
        <v>558.21</v>
      </c>
      <c r="W288" s="19" t="n">
        <v>-1.468531439330031</v>
      </c>
      <c r="X288" s="19" t="n">
        <v>-1.881421840240195</v>
      </c>
      <c r="Y288" s="19" t="n"/>
      <c r="Z288" s="19" t="n"/>
      <c r="AA288" s="19" t="n">
        <v>-0.1325043618172571</v>
      </c>
      <c r="AB288" s="19" t="n">
        <v>-0.5176380566710427</v>
      </c>
      <c r="AC288" s="19" t="n">
        <v>0.0784239488300749</v>
      </c>
      <c r="AD288" s="19" t="n">
        <v>-0.2322858976532867</v>
      </c>
      <c r="AE288" s="19" t="n">
        <v>0.022252861</v>
      </c>
      <c r="AF288" s="19" t="n"/>
      <c r="AG288" s="19" t="n">
        <v>15.876736</v>
      </c>
      <c r="AH288" s="19" t="n">
        <v>15.396042</v>
      </c>
      <c r="AI288" s="19" t="n">
        <v>15.550025</v>
      </c>
      <c r="AJ288" s="19" t="n">
        <v>15.550025</v>
      </c>
      <c r="AK288" s="19" t="n">
        <v>12.321126</v>
      </c>
      <c r="AL288" s="19" t="inlineStr">
        <is>
          <t>Equity Scheme - Sectoral/ Thematic</t>
        </is>
      </c>
      <c r="AM288" s="19" t="n">
        <v>2.24</v>
      </c>
      <c r="AN288" s="19" t="n">
        <v>0</v>
      </c>
      <c r="AO288" s="19" t="n">
        <v>0.05</v>
      </c>
      <c r="AP288" s="19" t="n">
        <v>0.09</v>
      </c>
      <c r="AQ288" s="19" t="n">
        <v>2.38</v>
      </c>
      <c r="AR288" s="19" t="n">
        <v>0.52</v>
      </c>
      <c r="AS288" s="19" t="n">
        <v>0</v>
      </c>
      <c r="AT288" s="19" t="n">
        <v>0.05</v>
      </c>
      <c r="AU288" s="19" t="n">
        <v>0.09</v>
      </c>
      <c r="AV288" s="19" t="n">
        <v>0.66</v>
      </c>
      <c r="AW288" s="17" t="n">
        <v>1.031869726447034</v>
      </c>
      <c r="AX288" s="18" t="inlineStr">
        <is>
          <t>-6cr</t>
        </is>
      </c>
      <c r="AY288" s="26" t="n">
        <v>1.078694789766575</v>
      </c>
      <c r="AZ288" s="26" t="n">
        <v>1.453221061498769</v>
      </c>
      <c r="BA288" s="26" t="n">
        <v>0.477347333389924</v>
      </c>
      <c r="BB288" s="28" t="n">
        <v>3</v>
      </c>
      <c r="BC288" t="n">
        <v>0</v>
      </c>
      <c r="BD288" t="n">
        <v>1</v>
      </c>
      <c r="BE288" t="n">
        <v>1</v>
      </c>
      <c r="BF288" t="n">
        <v>0</v>
      </c>
      <c r="BG288" t="n">
        <v>0</v>
      </c>
      <c r="BH288" t="n">
        <v>1</v>
      </c>
    </row>
    <row r="289">
      <c r="A289" s="19" t="inlineStr">
        <is>
          <t>Mahindra Manulife Manufacturing Fund</t>
        </is>
      </c>
      <c r="B289" s="19" t="inlineStr">
        <is>
          <t>sectorial:thematic</t>
        </is>
      </c>
      <c r="C289" s="19" t="inlineStr">
        <is>
          <t>BSE India Manufacturing TRI</t>
        </is>
      </c>
      <c r="D289" s="19" t="inlineStr">
        <is>
          <t>Very High</t>
        </is>
      </c>
      <c r="E289" s="19" t="inlineStr">
        <is>
          <t>Very High</t>
        </is>
      </c>
      <c r="F289" s="20" t="n">
        <v>46023</v>
      </c>
      <c r="G289" s="19" t="n">
        <v>9.989699999999999</v>
      </c>
      <c r="H289" s="19" t="n">
        <v>10.2357</v>
      </c>
      <c r="I289" s="19" t="n">
        <v>7.207047</v>
      </c>
      <c r="J289" s="19" t="n">
        <v>-5.862227999999999</v>
      </c>
      <c r="K289" s="19" t="n">
        <v>13.069275</v>
      </c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>
        <v>1.5411122</v>
      </c>
      <c r="V289" s="19" t="n">
        <v>740.11</v>
      </c>
      <c r="W289" s="19" t="n">
        <v>-0.8027440435968765</v>
      </c>
      <c r="X289" s="19" t="n">
        <v>-1.050750314914539</v>
      </c>
      <c r="Y289" s="19" t="n"/>
      <c r="Z289" s="19" t="n"/>
      <c r="AA289" s="19" t="n"/>
      <c r="AB289" s="19" t="n"/>
      <c r="AC289" s="19" t="n"/>
      <c r="AD289" s="19" t="n"/>
      <c r="AE289" s="19" t="n">
        <v>5.5380063</v>
      </c>
      <c r="AF289" s="19" t="n"/>
      <c r="AG289" s="19" t="n"/>
      <c r="AH289" s="19" t="n"/>
      <c r="AI289" s="19" t="n">
        <v>5.8661695</v>
      </c>
      <c r="AJ289" s="19" t="n">
        <v>5.8661695</v>
      </c>
      <c r="AK289" s="19" t="n">
        <v>-0.067628875</v>
      </c>
      <c r="AL289" s="19" t="inlineStr">
        <is>
          <t>Equity Scheme - Sectoral/ Thematic</t>
        </is>
      </c>
      <c r="AM289" s="19" t="n">
        <v>2.18</v>
      </c>
      <c r="AN289" s="19" t="n">
        <v>0</v>
      </c>
      <c r="AO289" s="19" t="n">
        <v>0.05</v>
      </c>
      <c r="AP289" s="19" t="n">
        <v>0.1</v>
      </c>
      <c r="AQ289" s="19" t="n">
        <v>2.33</v>
      </c>
      <c r="AR289" s="19" t="n">
        <v>0.62</v>
      </c>
      <c r="AS289" s="19" t="n">
        <v>0</v>
      </c>
      <c r="AT289" s="19" t="n">
        <v>0.05</v>
      </c>
      <c r="AU289" s="19" t="n">
        <v>0.1</v>
      </c>
      <c r="AV289" s="19" t="n">
        <v>0.77</v>
      </c>
      <c r="AW289" s="17" t="n">
        <v>3.53596087068138</v>
      </c>
      <c r="AX289" s="18" t="inlineStr">
        <is>
          <t>-26cr</t>
        </is>
      </c>
      <c r="AY289" s="26" t="n">
        <v>0.8633971515037835</v>
      </c>
      <c r="AZ289" s="26" t="n">
        <v>1.453221061498769</v>
      </c>
      <c r="BA289" s="26" t="n">
        <v>0.5420391782837297</v>
      </c>
      <c r="BB289" s="28" t="n">
        <v>4</v>
      </c>
      <c r="BC289" t="n">
        <v>1</v>
      </c>
      <c r="BD289" t="n">
        <v>1</v>
      </c>
      <c r="BE289" t="n">
        <v>1</v>
      </c>
      <c r="BF289" t="n">
        <v>0</v>
      </c>
      <c r="BG289" t="n">
        <v>0</v>
      </c>
      <c r="BH289" t="n">
        <v>1</v>
      </c>
    </row>
    <row r="290">
      <c r="A290" s="19" t="inlineStr">
        <is>
          <t>Mirae Asset Banking and Financial Services Fund</t>
        </is>
      </c>
      <c r="B290" s="19" t="inlineStr">
        <is>
          <t>sectorial:thematic</t>
        </is>
      </c>
      <c r="C290" s="19" t="inlineStr">
        <is>
          <t>Nifty Financial Services TRI</t>
        </is>
      </c>
      <c r="D290" s="19" t="inlineStr">
        <is>
          <t>Very High</t>
        </is>
      </c>
      <c r="E290" s="19" t="inlineStr">
        <is>
          <t>Very High</t>
        </is>
      </c>
      <c r="F290" s="20" t="n">
        <v>46023</v>
      </c>
      <c r="G290" s="19" t="n">
        <v>22.026</v>
      </c>
      <c r="H290" s="19" t="n">
        <v>23.837</v>
      </c>
      <c r="I290" s="19" t="n">
        <v>20.571573</v>
      </c>
      <c r="J290" s="19" t="n">
        <v>2.281352999999999</v>
      </c>
      <c r="K290" s="19" t="n">
        <v>18.29022</v>
      </c>
      <c r="L290" s="19" t="n">
        <v>18.96933</v>
      </c>
      <c r="M290" s="19" t="n">
        <v>4.51074</v>
      </c>
      <c r="N290" s="19" t="n">
        <v>14.45859</v>
      </c>
      <c r="O290" s="19" t="n">
        <v>18.190365</v>
      </c>
      <c r="P290" s="19" t="n">
        <v>4.469313</v>
      </c>
      <c r="Q290" s="19" t="n">
        <v>13.721052</v>
      </c>
      <c r="R290" s="19" t="n"/>
      <c r="S290" s="19" t="n"/>
      <c r="T290" s="19" t="n"/>
      <c r="U290" s="19" t="n">
        <v>18.72758</v>
      </c>
      <c r="V290" s="19" t="n">
        <v>2219.49</v>
      </c>
      <c r="W290" s="19" t="n">
        <v>0.4299188843291725</v>
      </c>
      <c r="X290" s="19" t="n">
        <v>0.1093653621761201</v>
      </c>
      <c r="Y290" s="19" t="n"/>
      <c r="Z290" s="19" t="n"/>
      <c r="AA290" s="19" t="n">
        <v>0.8288787961468345</v>
      </c>
      <c r="AB290" s="19" t="n">
        <v>0.5112289545580138</v>
      </c>
      <c r="AC290" s="19" t="n">
        <v>0.8655732204341787</v>
      </c>
      <c r="AD290" s="19" t="n">
        <v>0.5051748075912288</v>
      </c>
      <c r="AE290" s="19" t="n">
        <v>18.847462</v>
      </c>
      <c r="AF290" s="19" t="n"/>
      <c r="AG290" s="19" t="n">
        <v>17.234991</v>
      </c>
      <c r="AH290" s="19" t="n">
        <v>16.36531</v>
      </c>
      <c r="AI290" s="19" t="n">
        <v>14.591803</v>
      </c>
      <c r="AJ290" s="19" t="n">
        <v>14.591803</v>
      </c>
      <c r="AK290" s="19" t="n">
        <v>16.888065</v>
      </c>
      <c r="AL290" s="19" t="inlineStr">
        <is>
          <t>Equity Scheme - Sectoral/ Thematic</t>
        </is>
      </c>
      <c r="AM290" s="19" t="n">
        <v>1.87</v>
      </c>
      <c r="AN290" s="19" t="n">
        <v>0</v>
      </c>
      <c r="AO290" s="19" t="n">
        <v>0.05</v>
      </c>
      <c r="AP290" s="19" t="n">
        <v>0.08</v>
      </c>
      <c r="AQ290" s="19" t="n">
        <v>2</v>
      </c>
      <c r="AR290" s="19" t="n">
        <v>0.44</v>
      </c>
      <c r="AS290" s="19" t="n">
        <v>0</v>
      </c>
      <c r="AT290" s="19" t="n">
        <v>0.05</v>
      </c>
      <c r="AU290" s="19" t="n">
        <v>0.07000000000000001</v>
      </c>
      <c r="AV290" s="19" t="n">
        <v>0.5600000000000001</v>
      </c>
      <c r="AW290" s="17" t="n">
        <v>-0.1293089853975414</v>
      </c>
      <c r="AX290" t="inlineStr">
        <is>
          <t>3cr</t>
        </is>
      </c>
      <c r="AY290" s="26" t="n">
        <v>2.409014659146899</v>
      </c>
      <c r="AZ290" s="26" t="n">
        <v>1.453221061498769</v>
      </c>
      <c r="BA290" s="26" t="n">
        <v>0.5378138167292215</v>
      </c>
      <c r="BB290" s="28" t="n">
        <v>3</v>
      </c>
      <c r="BC290" t="n">
        <v>1</v>
      </c>
      <c r="BD290" t="n">
        <v>0</v>
      </c>
      <c r="BE290" t="n">
        <v>1</v>
      </c>
      <c r="BF290" t="n">
        <v>1</v>
      </c>
      <c r="BG290" t="n">
        <v>0</v>
      </c>
      <c r="BH290" t="n">
        <v>0</v>
      </c>
    </row>
    <row r="291">
      <c r="A291" s="19" t="inlineStr">
        <is>
          <t>Mirae Asset Great Consumer Fund</t>
        </is>
      </c>
      <c r="B291" s="19" t="inlineStr">
        <is>
          <t>sectorial:thematic</t>
        </is>
      </c>
      <c r="C291" s="19" t="inlineStr">
        <is>
          <t>Nifty India Consumption TRI</t>
        </is>
      </c>
      <c r="D291" s="19" t="inlineStr">
        <is>
          <t>Very High</t>
        </is>
      </c>
      <c r="E291" s="19" t="inlineStr">
        <is>
          <t>Very High</t>
        </is>
      </c>
      <c r="F291" s="20" t="n">
        <v>46023</v>
      </c>
      <c r="G291" s="19" t="n">
        <v>94.27200000000001</v>
      </c>
      <c r="H291" s="19" t="n">
        <v>113.081</v>
      </c>
      <c r="I291" s="19" t="n">
        <v>3.2637184</v>
      </c>
      <c r="J291" s="19" t="n">
        <v>-4.845994599999999</v>
      </c>
      <c r="K291" s="19" t="n">
        <v>8.109712999999999</v>
      </c>
      <c r="L291" s="19" t="n">
        <v>18.536196</v>
      </c>
      <c r="M291" s="19" t="n">
        <v>0.02950500000000034</v>
      </c>
      <c r="N291" s="19" t="n">
        <v>18.506691</v>
      </c>
      <c r="O291" s="19" t="n">
        <v>19.445889</v>
      </c>
      <c r="P291" s="19" t="n">
        <v>2.670339999999999</v>
      </c>
      <c r="Q291" s="19" t="n">
        <v>16.775549</v>
      </c>
      <c r="R291" s="19" t="n">
        <v>17.420044</v>
      </c>
      <c r="S291" s="19" t="n">
        <v>3.192567</v>
      </c>
      <c r="T291" s="19" t="n">
        <v>14.227477</v>
      </c>
      <c r="U291" s="19" t="n">
        <v>17.681528</v>
      </c>
      <c r="V291" s="19" t="n">
        <v>4715.29</v>
      </c>
      <c r="W291" s="19" t="n">
        <v>-1.156935476443032</v>
      </c>
      <c r="X291" s="19" t="n">
        <v>-1.506253687083078</v>
      </c>
      <c r="Y291" s="19" t="n">
        <v>0.4587928660710647</v>
      </c>
      <c r="Z291" s="19" t="n">
        <v>0.2080052044159687</v>
      </c>
      <c r="AA291" s="19" t="n">
        <v>-0.009918600663046633</v>
      </c>
      <c r="AB291" s="19" t="n">
        <v>-0.3419323393171201</v>
      </c>
      <c r="AC291" s="19" t="n">
        <v>0.441264817847637</v>
      </c>
      <c r="AD291" s="19" t="n">
        <v>0.1340354578368046</v>
      </c>
      <c r="AE291" s="19" t="n">
        <v>1.8221095</v>
      </c>
      <c r="AF291" s="19" t="n">
        <v>15.716511</v>
      </c>
      <c r="AG291" s="19" t="n">
        <v>16.833584</v>
      </c>
      <c r="AH291" s="19" t="n">
        <v>17.67372</v>
      </c>
      <c r="AI291" s="19" t="n"/>
      <c r="AJ291" s="19" t="n">
        <v>14.689265</v>
      </c>
      <c r="AK291" s="19" t="n">
        <v>16.360182</v>
      </c>
      <c r="AL291" s="19" t="inlineStr">
        <is>
          <t>Equity Scheme - Sectoral/ Thematic</t>
        </is>
      </c>
      <c r="AM291" s="19" t="n">
        <v>1.73</v>
      </c>
      <c r="AN291" s="19" t="n">
        <v>0</v>
      </c>
      <c r="AO291" s="19" t="n">
        <v>0.05</v>
      </c>
      <c r="AP291" s="19" t="n">
        <v>0.06</v>
      </c>
      <c r="AQ291" s="19" t="n">
        <v>1.84</v>
      </c>
      <c r="AR291" s="19" t="n">
        <v>0.33</v>
      </c>
      <c r="AS291" s="19" t="n">
        <v>0</v>
      </c>
      <c r="AT291" s="19" t="n">
        <v>0.05</v>
      </c>
      <c r="AU291" s="19" t="n">
        <v>0.05</v>
      </c>
      <c r="AV291" s="19" t="n">
        <v>0.43</v>
      </c>
      <c r="AW291" s="17" t="n">
        <v>1.286877371275156</v>
      </c>
      <c r="AX291" s="18" t="inlineStr">
        <is>
          <t>-61cr</t>
        </is>
      </c>
      <c r="AY291" s="26" t="n">
        <v>1.182945243828227</v>
      </c>
      <c r="AZ291" s="26" t="n">
        <v>1.453221061498769</v>
      </c>
      <c r="BA291" s="26" t="n">
        <v>0.4959575528237117</v>
      </c>
      <c r="BB291" s="28" t="n">
        <v>3</v>
      </c>
      <c r="BC291" t="n">
        <v>0</v>
      </c>
      <c r="BD291" t="n">
        <v>1</v>
      </c>
      <c r="BE291" t="n">
        <v>1</v>
      </c>
      <c r="BF291" t="n">
        <v>0</v>
      </c>
      <c r="BG291" t="n">
        <v>0</v>
      </c>
      <c r="BH291" t="n">
        <v>1</v>
      </c>
    </row>
    <row r="292">
      <c r="A292" s="19" t="inlineStr">
        <is>
          <t>Mirae Asset Healthcare Fund</t>
        </is>
      </c>
      <c r="B292" s="19" t="inlineStr">
        <is>
          <t>sectorial:thematic</t>
        </is>
      </c>
      <c r="C292" s="19" t="inlineStr">
        <is>
          <t>BSE Healthcare TRI</t>
        </is>
      </c>
      <c r="D292" s="19" t="inlineStr">
        <is>
          <t>Very High</t>
        </is>
      </c>
      <c r="E292" s="19" t="inlineStr">
        <is>
          <t>Very High</t>
        </is>
      </c>
      <c r="F292" s="20" t="n">
        <v>46023</v>
      </c>
      <c r="G292" s="19" t="n">
        <v>38.095</v>
      </c>
      <c r="H292" s="19" t="n">
        <v>42.751</v>
      </c>
      <c r="I292" s="19" t="n">
        <v>-2.6527917</v>
      </c>
      <c r="J292" s="19" t="n">
        <v>0.6250032999999999</v>
      </c>
      <c r="K292" s="19" t="n">
        <v>-3.277795</v>
      </c>
      <c r="L292" s="19" t="n">
        <v>23.30394</v>
      </c>
      <c r="M292" s="19" t="n">
        <v>-1.207304000000001</v>
      </c>
      <c r="N292" s="19" t="n">
        <v>24.511244</v>
      </c>
      <c r="O292" s="19" t="n">
        <v>16.509264</v>
      </c>
      <c r="P292" s="19" t="n">
        <v>0.9278610000000018</v>
      </c>
      <c r="Q292" s="19" t="n">
        <v>15.581403</v>
      </c>
      <c r="R292" s="19" t="n"/>
      <c r="S292" s="19" t="n"/>
      <c r="T292" s="19" t="n"/>
      <c r="U292" s="19" t="n">
        <v>21.352692</v>
      </c>
      <c r="V292" s="19" t="n">
        <v>2763</v>
      </c>
      <c r="W292" s="19" t="n">
        <v>0.1682574792946651</v>
      </c>
      <c r="X292" s="19" t="n">
        <v>-0.1869053097307078</v>
      </c>
      <c r="Y292" s="19" t="n"/>
      <c r="Z292" s="19" t="n"/>
      <c r="AA292" s="19" t="n">
        <v>-0.2662959588113681</v>
      </c>
      <c r="AB292" s="19" t="n">
        <v>-0.666540283877101</v>
      </c>
      <c r="AC292" s="19" t="n">
        <v>0.215400766602091</v>
      </c>
      <c r="AD292" s="19" t="n">
        <v>-0.2174071541873874</v>
      </c>
      <c r="AE292" s="19" t="n">
        <v>-4.042821</v>
      </c>
      <c r="AF292" s="19" t="n"/>
      <c r="AG292" s="19" t="n">
        <v>21.506247</v>
      </c>
      <c r="AH292" s="19" t="n">
        <v>14.776323</v>
      </c>
      <c r="AI292" s="19" t="n">
        <v>17.214676</v>
      </c>
      <c r="AJ292" s="19" t="n">
        <v>17.214676</v>
      </c>
      <c r="AK292" s="19" t="n">
        <v>19.502888</v>
      </c>
      <c r="AL292" s="19" t="inlineStr">
        <is>
          <t>Equity Scheme - Sectoral/ Thematic</t>
        </is>
      </c>
      <c r="AM292" s="19" t="n">
        <v>1.82</v>
      </c>
      <c r="AN292" s="19" t="n">
        <v>0</v>
      </c>
      <c r="AO292" s="19" t="n">
        <v>0.05</v>
      </c>
      <c r="AP292" s="19" t="n">
        <v>0.06</v>
      </c>
      <c r="AQ292" s="19" t="n">
        <v>1.93</v>
      </c>
      <c r="AR292" s="19" t="n">
        <v>0.37</v>
      </c>
      <c r="AS292" s="19" t="n">
        <v>0</v>
      </c>
      <c r="AT292" s="19" t="n">
        <v>0.05</v>
      </c>
      <c r="AU292" s="19" t="n">
        <v>0.06</v>
      </c>
      <c r="AV292" s="19" t="n">
        <v>0.48</v>
      </c>
      <c r="AW292" s="17" t="n">
        <v>1.242490047050305</v>
      </c>
      <c r="AX292" s="18" t="inlineStr">
        <is>
          <t>-34cr</t>
        </is>
      </c>
      <c r="AY292" s="26" t="n">
        <v>0.9456594255781452</v>
      </c>
      <c r="AZ292" s="26" t="n">
        <v>1.453221061498769</v>
      </c>
      <c r="BA292" s="26" t="n">
        <v>0.576310653889708</v>
      </c>
      <c r="BB292" s="28" t="n">
        <v>4</v>
      </c>
      <c r="BC292" t="n">
        <v>0</v>
      </c>
      <c r="BD292" t="n">
        <v>1</v>
      </c>
      <c r="BE292" t="n">
        <v>1</v>
      </c>
      <c r="BF292" t="n">
        <v>1</v>
      </c>
      <c r="BG292" t="n">
        <v>0</v>
      </c>
      <c r="BH292" t="n">
        <v>1</v>
      </c>
    </row>
    <row r="293">
      <c r="A293" s="19" t="inlineStr">
        <is>
          <t>Mirae Asset Infrastructure Fund</t>
        </is>
      </c>
      <c r="B293" s="19" t="inlineStr">
        <is>
          <t>sectorial:thematic</t>
        </is>
      </c>
      <c r="C293" s="19" t="inlineStr">
        <is>
          <t>BSE India Infrastructure TRI</t>
        </is>
      </c>
      <c r="D293" s="19" t="inlineStr">
        <is>
          <t>Very High</t>
        </is>
      </c>
      <c r="E293" s="19" t="inlineStr">
        <is>
          <t>Very High</t>
        </is>
      </c>
      <c r="F293" s="20" t="n">
        <v>46023</v>
      </c>
      <c r="G293" s="19" t="n">
        <v>10.131</v>
      </c>
      <c r="H293" s="19" t="n">
        <v>10.145</v>
      </c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>
        <v>342.71</v>
      </c>
      <c r="W293" s="19" t="n"/>
      <c r="X293" s="19" t="n"/>
      <c r="Y293" s="19" t="n"/>
      <c r="Z293" s="19" t="n"/>
      <c r="AA293" s="19" t="n"/>
      <c r="AB293" s="19" t="n"/>
      <c r="AC293" s="19" t="n"/>
      <c r="AD293" s="19" t="n"/>
      <c r="AE293" s="19" t="n"/>
      <c r="AF293" s="19" t="n"/>
      <c r="AG293" s="19" t="n"/>
      <c r="AH293" s="19" t="n"/>
      <c r="AI293" s="19" t="n"/>
      <c r="AJ293" s="19" t="n"/>
      <c r="AK293" s="19" t="n"/>
      <c r="AL293" s="19" t="inlineStr">
        <is>
          <t>Equity Scheme - Sectoral/ Thematic</t>
        </is>
      </c>
      <c r="AM293" s="19" t="n">
        <v>2.25</v>
      </c>
      <c r="AN293" s="19" t="n">
        <v>0</v>
      </c>
      <c r="AO293" s="19" t="n">
        <v>0.05</v>
      </c>
      <c r="AP293" s="19" t="n">
        <v>0.08</v>
      </c>
      <c r="AQ293" s="19" t="n">
        <v>2.38</v>
      </c>
      <c r="AR293" s="19" t="n">
        <v>0.48</v>
      </c>
      <c r="AS293" s="19" t="n">
        <v>0</v>
      </c>
      <c r="AT293" s="19" t="n">
        <v>0.05</v>
      </c>
      <c r="AU293" s="19" t="n">
        <v>0.08</v>
      </c>
      <c r="AV293" s="19" t="n">
        <v>0.61</v>
      </c>
      <c r="AY293" s="26" t="n">
        <v>0.751175771091567</v>
      </c>
      <c r="AZ293" s="26" t="n">
        <v>1.453221061498769</v>
      </c>
      <c r="BA293" s="26" t="n">
        <v>0.5966838484961251</v>
      </c>
      <c r="BB293" s="28" t="n">
        <v>2</v>
      </c>
      <c r="BC293" t="n">
        <v>0</v>
      </c>
      <c r="BD293" t="n">
        <v>0</v>
      </c>
      <c r="BE293" t="n">
        <v>1</v>
      </c>
      <c r="BF293" t="n">
        <v>0</v>
      </c>
      <c r="BG293" t="n">
        <v>0</v>
      </c>
      <c r="BH293" t="n">
        <v>1</v>
      </c>
    </row>
    <row r="294">
      <c r="A294" s="19" t="inlineStr">
        <is>
          <t>Motilal Oswal Active Momentum Fund</t>
        </is>
      </c>
      <c r="B294" s="19" t="inlineStr">
        <is>
          <t>sectorial:thematic</t>
        </is>
      </c>
      <c r="C294" s="19" t="inlineStr">
        <is>
          <t>Nifty 500 TRI</t>
        </is>
      </c>
      <c r="D294" s="19" t="inlineStr">
        <is>
          <t>Very High</t>
        </is>
      </c>
      <c r="E294" s="19" t="inlineStr">
        <is>
          <t>Very High</t>
        </is>
      </c>
      <c r="F294" s="20" t="n">
        <v>46023</v>
      </c>
      <c r="G294" s="19" t="n">
        <v>12.2743</v>
      </c>
      <c r="H294" s="19" t="n">
        <v>12.2841</v>
      </c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>
        <v>357.2</v>
      </c>
      <c r="W294" s="19" t="n"/>
      <c r="X294" s="19" t="n"/>
      <c r="Y294" s="19" t="n"/>
      <c r="Z294" s="19" t="n"/>
      <c r="AA294" s="19" t="n"/>
      <c r="AB294" s="19" t="n"/>
      <c r="AC294" s="19" t="n"/>
      <c r="AD294" s="19" t="n"/>
      <c r="AE294" s="19" t="n"/>
      <c r="AF294" s="19" t="n"/>
      <c r="AG294" s="19" t="n"/>
      <c r="AH294" s="19" t="n"/>
      <c r="AI294" s="19" t="n"/>
      <c r="AJ294" s="19" t="n"/>
      <c r="AK294" s="19" t="n"/>
      <c r="AL294" s="19" t="inlineStr">
        <is>
          <t>Equity Scheme - Sectoral/ Thematic</t>
        </is>
      </c>
      <c r="AM294" s="19" t="n">
        <v>2.25</v>
      </c>
      <c r="AN294" s="19" t="n">
        <v>0</v>
      </c>
      <c r="AO294" s="19" t="n">
        <v>0.05</v>
      </c>
      <c r="AP294" s="19" t="n">
        <v>0.36</v>
      </c>
      <c r="AQ294" s="19" t="n">
        <v>2.66</v>
      </c>
      <c r="AR294" s="19" t="n">
        <v>2.15</v>
      </c>
      <c r="AS294" s="19" t="n">
        <v>0</v>
      </c>
      <c r="AT294" s="19" t="n">
        <v>0.05</v>
      </c>
      <c r="AU294" s="19" t="n">
        <v>0.36</v>
      </c>
      <c r="AV294" s="19" t="n">
        <v>2.56</v>
      </c>
      <c r="AW294" s="17" t="n">
        <v>-10.80347144456886</v>
      </c>
      <c r="AX294" t="inlineStr">
        <is>
          <t>39cr</t>
        </is>
      </c>
      <c r="AY294" s="26" t="n">
        <v>2.888938621954793</v>
      </c>
      <c r="AZ294" s="26" t="n">
        <v>1.453221061498769</v>
      </c>
      <c r="BA294" s="26" t="n">
        <v>0.85665315073961</v>
      </c>
      <c r="BB294" s="28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</row>
    <row r="295">
      <c r="A295" s="19" t="inlineStr">
        <is>
          <t>Motilal Oswal Business Cycle Fund</t>
        </is>
      </c>
      <c r="B295" s="19" t="inlineStr">
        <is>
          <t>sectorial:thematic</t>
        </is>
      </c>
      <c r="C295" s="19" t="inlineStr">
        <is>
          <t>Nifty 500 TRI</t>
        </is>
      </c>
      <c r="D295" s="19" t="inlineStr">
        <is>
          <t>Very High</t>
        </is>
      </c>
      <c r="E295" s="19" t="inlineStr">
        <is>
          <t>Very High</t>
        </is>
      </c>
      <c r="F295" s="20" t="n">
        <v>46023</v>
      </c>
      <c r="G295" s="19" t="n">
        <v>12.4461</v>
      </c>
      <c r="H295" s="19" t="n">
        <v>12.6988</v>
      </c>
      <c r="I295" s="19" t="n">
        <v>-2.6725426</v>
      </c>
      <c r="J295" s="19" t="n">
        <v>-10.0915709</v>
      </c>
      <c r="K295" s="19" t="n">
        <v>7.4190283</v>
      </c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>
        <v>19.392876</v>
      </c>
      <c r="V295" s="19" t="n">
        <v>2106.29</v>
      </c>
      <c r="W295" s="19" t="n">
        <v>-0.8458685988393625</v>
      </c>
      <c r="X295" s="19" t="n">
        <v>-0.9801356212664643</v>
      </c>
      <c r="Y295" s="19" t="n"/>
      <c r="Z295" s="19" t="n"/>
      <c r="AA295" s="19" t="n"/>
      <c r="AB295" s="19" t="n"/>
      <c r="AC295" s="19" t="n"/>
      <c r="AD295" s="19" t="n"/>
      <c r="AE295" s="19" t="n">
        <v>-4.0696464</v>
      </c>
      <c r="AF295" s="19" t="n"/>
      <c r="AG295" s="19" t="n"/>
      <c r="AH295" s="19" t="n"/>
      <c r="AI295" s="19" t="n">
        <v>1.8231789</v>
      </c>
      <c r="AJ295" s="19" t="n">
        <v>1.8231789</v>
      </c>
      <c r="AK295" s="19" t="n">
        <v>17.62573</v>
      </c>
      <c r="AL295" s="19" t="inlineStr">
        <is>
          <t>Equity Scheme - Sectoral/ Thematic</t>
        </is>
      </c>
      <c r="AM295" s="19" t="n">
        <v>1.92</v>
      </c>
      <c r="AN295" s="19" t="n">
        <v>0</v>
      </c>
      <c r="AO295" s="19" t="n">
        <v>0.05</v>
      </c>
      <c r="AP295" s="19" t="n">
        <v>0.15</v>
      </c>
      <c r="AQ295" s="19" t="n">
        <v>2.12</v>
      </c>
      <c r="AR295" s="19" t="n">
        <v>0.92</v>
      </c>
      <c r="AS295" s="19" t="n">
        <v>0</v>
      </c>
      <c r="AT295" s="19" t="n">
        <v>0.05</v>
      </c>
      <c r="AU295" s="19" t="n">
        <v>0.15</v>
      </c>
      <c r="AV295" s="19" t="n">
        <v>1.12</v>
      </c>
      <c r="AW295" s="17" t="n">
        <v>5.710989464888499</v>
      </c>
      <c r="AX295" s="18" t="inlineStr">
        <is>
          <t>-120cr</t>
        </is>
      </c>
      <c r="AY295" s="26" t="n">
        <v>1.943646971252266</v>
      </c>
      <c r="AZ295" s="26" t="n">
        <v>1.453221061498769</v>
      </c>
      <c r="BA295" s="26" t="n">
        <v>0.7702873750787267</v>
      </c>
      <c r="BB295" s="28" t="n">
        <v>1</v>
      </c>
      <c r="BC295" t="n">
        <v>0</v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</row>
    <row r="296">
      <c r="A296" s="19" t="inlineStr">
        <is>
          <t>Motilal Oswal Consumption Fund</t>
        </is>
      </c>
      <c r="B296" s="19" t="inlineStr">
        <is>
          <t>sectorial:thematic</t>
        </is>
      </c>
      <c r="C296" s="19" t="inlineStr">
        <is>
          <t>Nifty India Consumption TRI</t>
        </is>
      </c>
      <c r="D296" s="19" t="inlineStr">
        <is>
          <t>Very High</t>
        </is>
      </c>
      <c r="E296" s="19" t="inlineStr">
        <is>
          <t>Very High</t>
        </is>
      </c>
      <c r="F296" s="20" t="n">
        <v>46023</v>
      </c>
      <c r="G296" s="19" t="n">
        <v>9.7987</v>
      </c>
      <c r="H296" s="19" t="n">
        <v>9.826599999999999</v>
      </c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>
        <v>1178.65</v>
      </c>
      <c r="W296" s="19" t="n"/>
      <c r="X296" s="19" t="n"/>
      <c r="Y296" s="19" t="n"/>
      <c r="Z296" s="19" t="n"/>
      <c r="AA296" s="19" t="n"/>
      <c r="AB296" s="19" t="n"/>
      <c r="AC296" s="19" t="n"/>
      <c r="AD296" s="19" t="n"/>
      <c r="AE296" s="19" t="n"/>
      <c r="AF296" s="19" t="n"/>
      <c r="AG296" s="19" t="n"/>
      <c r="AH296" s="19" t="n"/>
      <c r="AI296" s="19" t="n"/>
      <c r="AJ296" s="19" t="n"/>
      <c r="AK296" s="19" t="n"/>
      <c r="AL296" s="19" t="inlineStr">
        <is>
          <t>Equity Scheme - Sectoral/ Thematic</t>
        </is>
      </c>
      <c r="AM296" s="19" t="n">
        <v>2.05</v>
      </c>
      <c r="AN296" s="19" t="n">
        <v>0</v>
      </c>
      <c r="AO296" s="19" t="n">
        <v>0.05</v>
      </c>
      <c r="AP296" s="19" t="n">
        <v>0.05</v>
      </c>
      <c r="AQ296" s="19" t="n">
        <v>2.15</v>
      </c>
      <c r="AR296" s="19" t="n">
        <v>0.34</v>
      </c>
      <c r="AS296" s="19" t="n">
        <v>0</v>
      </c>
      <c r="AT296" s="19" t="n">
        <v>0.05</v>
      </c>
      <c r="AU296" s="19" t="n">
        <v>0.05</v>
      </c>
      <c r="AV296" s="19" t="n">
        <v>0.44</v>
      </c>
      <c r="AW296" s="17" t="n">
        <v>0.02884656174436161</v>
      </c>
      <c r="AX296" t="inlineStr">
        <is>
          <t>0cr</t>
        </is>
      </c>
      <c r="AY296" s="26" t="n">
        <v>1.362122790193417</v>
      </c>
      <c r="AZ296" s="26" t="n">
        <v>1.453221061498769</v>
      </c>
      <c r="BA296" s="26" t="n">
        <v>0.7278956604393723</v>
      </c>
      <c r="BB296" s="28" t="n">
        <v>3</v>
      </c>
      <c r="BC296" t="n">
        <v>0</v>
      </c>
      <c r="BD296" t="n">
        <v>1</v>
      </c>
      <c r="BE296" t="n">
        <v>1</v>
      </c>
      <c r="BF296" t="n">
        <v>0</v>
      </c>
      <c r="BG296" t="n">
        <v>0</v>
      </c>
      <c r="BH296" t="n">
        <v>1</v>
      </c>
    </row>
    <row r="297">
      <c r="A297" s="19" t="inlineStr">
        <is>
          <t>Motilal Oswal Digital India Fund</t>
        </is>
      </c>
      <c r="B297" s="19" t="inlineStr">
        <is>
          <t>sectorial:thematic</t>
        </is>
      </c>
      <c r="C297" s="19" t="inlineStr">
        <is>
          <t>BSE Teck TRI</t>
        </is>
      </c>
      <c r="D297" s="19" t="inlineStr">
        <is>
          <t>Very High</t>
        </is>
      </c>
      <c r="E297" s="19" t="inlineStr">
        <is>
          <t>Very High</t>
        </is>
      </c>
      <c r="F297" s="20" t="n">
        <v>46023</v>
      </c>
      <c r="G297" s="19" t="n">
        <v>10.3351</v>
      </c>
      <c r="H297" s="19" t="n">
        <v>10.5155</v>
      </c>
      <c r="I297" s="19" t="n">
        <v>-1.3481312</v>
      </c>
      <c r="J297" s="19" t="n">
        <v>1.3021748</v>
      </c>
      <c r="K297" s="19" t="n">
        <v>-2.650306</v>
      </c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>
        <v>4.4327464</v>
      </c>
      <c r="V297" s="19" t="n">
        <v>905.4</v>
      </c>
      <c r="W297" s="19" t="n">
        <v>0.1259155700066733</v>
      </c>
      <c r="X297" s="19" t="n">
        <v>0.02266254640384785</v>
      </c>
      <c r="Y297" s="19" t="n"/>
      <c r="Z297" s="19" t="n"/>
      <c r="AA297" s="19" t="n"/>
      <c r="AB297" s="19" t="n"/>
      <c r="AC297" s="19" t="n"/>
      <c r="AD297" s="19" t="n"/>
      <c r="AE297" s="19" t="n">
        <v>-2.8043976</v>
      </c>
      <c r="AF297" s="19" t="n"/>
      <c r="AG297" s="19" t="n"/>
      <c r="AH297" s="19" t="n"/>
      <c r="AI297" s="19" t="n">
        <v>1.9939826</v>
      </c>
      <c r="AJ297" s="19" t="n">
        <v>1.9939826</v>
      </c>
      <c r="AK297" s="19" t="n">
        <v>2.8849647</v>
      </c>
      <c r="AL297" s="19" t="inlineStr">
        <is>
          <t>Equity Scheme - Sectoral/ Thematic</t>
        </is>
      </c>
      <c r="AM297" s="19" t="n">
        <v>2.12</v>
      </c>
      <c r="AN297" s="19" t="n">
        <v>0</v>
      </c>
      <c r="AO297" s="19" t="n">
        <v>0.05</v>
      </c>
      <c r="AP297" s="19" t="n">
        <v>0.11</v>
      </c>
      <c r="AQ297" s="19" t="n">
        <v>2.28</v>
      </c>
      <c r="AR297" s="19" t="n">
        <v>0.74</v>
      </c>
      <c r="AS297" s="19" t="n">
        <v>0</v>
      </c>
      <c r="AT297" s="19" t="n">
        <v>0.05</v>
      </c>
      <c r="AU297" s="19" t="n">
        <v>0.11</v>
      </c>
      <c r="AV297" s="19" t="n">
        <v>0.9</v>
      </c>
      <c r="AW297" s="17" t="n">
        <v>1.595979677490617</v>
      </c>
      <c r="AX297" s="18" t="inlineStr">
        <is>
          <t>-14cr</t>
        </is>
      </c>
      <c r="AY297" s="26" t="n">
        <v>1.614101645482016</v>
      </c>
      <c r="AZ297" s="26" t="n">
        <v>1.453221061498769</v>
      </c>
      <c r="BA297" s="26" t="n">
        <v>0.9195522861168187</v>
      </c>
      <c r="BB297" s="28" t="n">
        <v>2</v>
      </c>
      <c r="BC297" t="n">
        <v>0</v>
      </c>
      <c r="BD297" t="n">
        <v>1</v>
      </c>
      <c r="BE297" t="n">
        <v>0</v>
      </c>
      <c r="BF297" t="n">
        <v>1</v>
      </c>
      <c r="BG297" t="n">
        <v>0</v>
      </c>
      <c r="BH297" t="n">
        <v>0</v>
      </c>
    </row>
    <row r="298">
      <c r="A298" s="19" t="inlineStr">
        <is>
          <t>Motilal Oswal Infrastructure Fund</t>
        </is>
      </c>
      <c r="B298" s="19" t="inlineStr">
        <is>
          <t>sectorial:thematic</t>
        </is>
      </c>
      <c r="C298" s="19" t="inlineStr">
        <is>
          <t>Nifty Infrastructure TRI</t>
        </is>
      </c>
      <c r="D298" s="19" t="inlineStr">
        <is>
          <t>Very High</t>
        </is>
      </c>
      <c r="E298" s="19" t="inlineStr">
        <is>
          <t>Very High</t>
        </is>
      </c>
      <c r="F298" s="20" t="n">
        <v>46023</v>
      </c>
      <c r="G298" s="19" t="n">
        <v>12.1674</v>
      </c>
      <c r="H298" s="19" t="n">
        <v>12.1856</v>
      </c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>
        <v>111.52</v>
      </c>
      <c r="W298" s="19" t="n"/>
      <c r="X298" s="19" t="n"/>
      <c r="Y298" s="19" t="n"/>
      <c r="Z298" s="19" t="n"/>
      <c r="AA298" s="19" t="n"/>
      <c r="AB298" s="19" t="n"/>
      <c r="AC298" s="19" t="n"/>
      <c r="AD298" s="19" t="n"/>
      <c r="AE298" s="19" t="n"/>
      <c r="AF298" s="19" t="n"/>
      <c r="AG298" s="19" t="n"/>
      <c r="AH298" s="19" t="n"/>
      <c r="AI298" s="19" t="n"/>
      <c r="AJ298" s="19" t="n"/>
      <c r="AK298" s="19" t="n"/>
      <c r="AL298" s="19" t="inlineStr">
        <is>
          <t>Equity Scheme - Sectoral/ Thematic</t>
        </is>
      </c>
      <c r="AM298" s="19" t="n">
        <v>2.25</v>
      </c>
      <c r="AN298" s="19" t="n">
        <v>0</v>
      </c>
      <c r="AO298" s="19" t="n">
        <v>0.05</v>
      </c>
      <c r="AP298" s="19" t="n">
        <v>0.05</v>
      </c>
      <c r="AQ298" s="19" t="n">
        <v>2.35</v>
      </c>
      <c r="AR298" s="19" t="n">
        <v>0.9</v>
      </c>
      <c r="AS298" s="19" t="n">
        <v>0</v>
      </c>
      <c r="AT298" s="19" t="n">
        <v>0.05</v>
      </c>
      <c r="AU298" s="19" t="n">
        <v>0.05</v>
      </c>
      <c r="AV298" s="19" t="n">
        <v>1</v>
      </c>
      <c r="AW298" s="17" t="n">
        <v>-9.280846484935433</v>
      </c>
      <c r="AX298" t="inlineStr">
        <is>
          <t>10cr</t>
        </is>
      </c>
      <c r="AY298" s="26" t="n">
        <v>2.056344177315193</v>
      </c>
      <c r="AZ298" s="26" t="n">
        <v>1.453221061498769</v>
      </c>
      <c r="BA298" s="26" t="n">
        <v>0.7638858015618402</v>
      </c>
      <c r="BB298" s="2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</row>
    <row r="299">
      <c r="A299" s="19" t="inlineStr">
        <is>
          <t>Motilal Oswal Innovation Opportunities Fund</t>
        </is>
      </c>
      <c r="B299" s="19" t="inlineStr">
        <is>
          <t>sectorial:thematic</t>
        </is>
      </c>
      <c r="C299" s="19" t="inlineStr">
        <is>
          <t>Nifty 500 TRI</t>
        </is>
      </c>
      <c r="D299" s="19" t="inlineStr">
        <is>
          <t>Very High</t>
        </is>
      </c>
      <c r="E299" s="19" t="inlineStr">
        <is>
          <t>Very High</t>
        </is>
      </c>
      <c r="F299" s="20" t="n">
        <v>46023</v>
      </c>
      <c r="G299" s="19" t="n">
        <v>12.3461</v>
      </c>
      <c r="H299" s="19" t="n">
        <v>12.4942</v>
      </c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>
        <v>486.71</v>
      </c>
      <c r="W299" s="19" t="n"/>
      <c r="X299" s="19" t="n"/>
      <c r="Y299" s="19" t="n"/>
      <c r="Z299" s="19" t="n"/>
      <c r="AA299" s="19" t="n"/>
      <c r="AB299" s="19" t="n"/>
      <c r="AC299" s="19" t="n"/>
      <c r="AD299" s="19" t="n"/>
      <c r="AE299" s="19" t="n"/>
      <c r="AF299" s="19" t="n"/>
      <c r="AG299" s="19" t="n"/>
      <c r="AH299" s="19" t="n"/>
      <c r="AI299" s="19" t="n"/>
      <c r="AJ299" s="19" t="n"/>
      <c r="AK299" s="19" t="n"/>
      <c r="AL299" s="19" t="inlineStr">
        <is>
          <t>Equity Scheme - Sectoral/ Thematic</t>
        </is>
      </c>
      <c r="AM299" s="19" t="n">
        <v>2.25</v>
      </c>
      <c r="AN299" s="19" t="n">
        <v>0</v>
      </c>
      <c r="AO299" s="19" t="n">
        <v>0.05</v>
      </c>
      <c r="AP299" s="19" t="n">
        <v>0.1</v>
      </c>
      <c r="AQ299" s="19" t="n">
        <v>2.4</v>
      </c>
      <c r="AR299" s="19" t="n">
        <v>0.74</v>
      </c>
      <c r="AS299" s="19" t="n">
        <v>0</v>
      </c>
      <c r="AT299" s="19" t="n">
        <v>0.05</v>
      </c>
      <c r="AU299" s="19" t="n">
        <v>0.1</v>
      </c>
      <c r="AV299" s="19" t="n">
        <v>0.89</v>
      </c>
      <c r="AW299" s="17" t="n">
        <v>2.689486552567244</v>
      </c>
      <c r="AX299" s="18" t="inlineStr">
        <is>
          <t>-13cr</t>
        </is>
      </c>
      <c r="AY299" s="26" t="n">
        <v>2.114022641107505</v>
      </c>
      <c r="AZ299" s="26" t="n">
        <v>1.453221061498769</v>
      </c>
      <c r="BA299" s="26" t="n">
        <v>0.7860346821616743</v>
      </c>
      <c r="BB299" s="28" t="n">
        <v>1</v>
      </c>
      <c r="BC299" t="n">
        <v>0</v>
      </c>
      <c r="BD299" t="n">
        <v>1</v>
      </c>
      <c r="BE299" t="n">
        <v>0</v>
      </c>
      <c r="BF299" t="n">
        <v>0</v>
      </c>
      <c r="BG299" t="n">
        <v>0</v>
      </c>
      <c r="BH299" t="n">
        <v>0</v>
      </c>
    </row>
    <row r="300">
      <c r="A300" s="19" t="inlineStr">
        <is>
          <t>Motilal Oswal Manufacturing Fund</t>
        </is>
      </c>
      <c r="B300" s="19" t="inlineStr">
        <is>
          <t>sectorial:thematic</t>
        </is>
      </c>
      <c r="C300" s="19" t="inlineStr">
        <is>
          <t>Nifty India Manufacturing TRI</t>
        </is>
      </c>
      <c r="D300" s="19" t="inlineStr">
        <is>
          <t>Very High</t>
        </is>
      </c>
      <c r="E300" s="19" t="inlineStr">
        <is>
          <t>Very High</t>
        </is>
      </c>
      <c r="F300" s="20" t="n">
        <v>46023</v>
      </c>
      <c r="G300" s="19" t="n">
        <v>11.1957</v>
      </c>
      <c r="H300" s="19" t="n">
        <v>11.4248</v>
      </c>
      <c r="I300" s="19" t="n">
        <v>-4.8456683</v>
      </c>
      <c r="J300" s="19" t="n">
        <v>-16.8966403</v>
      </c>
      <c r="K300" s="19" t="n">
        <v>12.050972</v>
      </c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>
        <v>9.492642</v>
      </c>
      <c r="V300" s="19" t="n">
        <v>743.21</v>
      </c>
      <c r="W300" s="19" t="n">
        <v>-1.433013738777426</v>
      </c>
      <c r="X300" s="19" t="n">
        <v>-1.570902265658394</v>
      </c>
      <c r="Y300" s="19" t="n"/>
      <c r="Z300" s="19" t="n"/>
      <c r="AA300" s="19" t="n"/>
      <c r="AB300" s="19" t="n"/>
      <c r="AC300" s="19" t="n"/>
      <c r="AD300" s="19" t="n"/>
      <c r="AE300" s="19" t="n">
        <v>-6.2446613</v>
      </c>
      <c r="AF300" s="19" t="n"/>
      <c r="AG300" s="19" t="n"/>
      <c r="AH300" s="19" t="n"/>
      <c r="AI300" s="19" t="n">
        <v>5.1453333</v>
      </c>
      <c r="AJ300" s="19" t="n">
        <v>5.1453333</v>
      </c>
      <c r="AK300" s="19" t="n">
        <v>7.92137</v>
      </c>
      <c r="AL300" s="19" t="inlineStr">
        <is>
          <t>Equity Scheme - Sectoral/ Thematic</t>
        </is>
      </c>
      <c r="AM300" s="19" t="n">
        <v>2.19</v>
      </c>
      <c r="AN300" s="19" t="n">
        <v>0</v>
      </c>
      <c r="AO300" s="19" t="n">
        <v>0.05</v>
      </c>
      <c r="AP300" s="19" t="n">
        <v>0.13</v>
      </c>
      <c r="AQ300" s="19" t="n">
        <v>2.37</v>
      </c>
      <c r="AR300" s="19" t="n">
        <v>0.83</v>
      </c>
      <c r="AS300" s="19" t="n">
        <v>0</v>
      </c>
      <c r="AT300" s="19" t="n">
        <v>0.05</v>
      </c>
      <c r="AU300" s="19" t="n">
        <v>0.13</v>
      </c>
      <c r="AV300" s="19" t="n">
        <v>1.01</v>
      </c>
      <c r="AW300" s="17" t="n">
        <v>3.993487708722965</v>
      </c>
      <c r="AX300" s="18" t="inlineStr">
        <is>
          <t>-30cr</t>
        </is>
      </c>
      <c r="AY300" s="26" t="n">
        <v>1.962903557613831</v>
      </c>
      <c r="AZ300" s="26" t="n">
        <v>1.453221061498769</v>
      </c>
      <c r="BA300" s="26" t="n">
        <v>0.7040824419518859</v>
      </c>
      <c r="BB300" s="28" t="n">
        <v>1</v>
      </c>
      <c r="BC300" t="n">
        <v>0</v>
      </c>
      <c r="BD300" t="n">
        <v>1</v>
      </c>
      <c r="BE300" t="n">
        <v>0</v>
      </c>
      <c r="BF300" t="n">
        <v>0</v>
      </c>
      <c r="BG300" t="n">
        <v>0</v>
      </c>
      <c r="BH300" t="n">
        <v>0</v>
      </c>
    </row>
    <row r="301">
      <c r="A301" s="19" t="inlineStr">
        <is>
          <t>Motilal Oswal Quant Fund</t>
        </is>
      </c>
      <c r="B301" s="19" t="inlineStr">
        <is>
          <t>sectorial:thematic</t>
        </is>
      </c>
      <c r="C301" s="19" t="inlineStr">
        <is>
          <t>Nifty 200 TRI</t>
        </is>
      </c>
      <c r="D301" s="19" t="inlineStr">
        <is>
          <t>Very High</t>
        </is>
      </c>
      <c r="E301" s="19" t="inlineStr">
        <is>
          <t>Very High</t>
        </is>
      </c>
      <c r="F301" s="20" t="n">
        <v>46023</v>
      </c>
      <c r="G301" s="19" t="n">
        <v>9.929</v>
      </c>
      <c r="H301" s="19" t="n">
        <v>10.5137</v>
      </c>
      <c r="I301" s="19" t="n">
        <v>-4.7490916</v>
      </c>
      <c r="J301" s="19" t="n">
        <v>-14.0657326</v>
      </c>
      <c r="K301" s="19" t="n">
        <v>9.316641000000001</v>
      </c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>
        <v>1.5612266</v>
      </c>
      <c r="V301" s="19" t="n">
        <v>145.82</v>
      </c>
      <c r="W301" s="19" t="n">
        <v>-1.276371483773034</v>
      </c>
      <c r="X301" s="19" t="n">
        <v>-1.291525532235591</v>
      </c>
      <c r="Y301" s="19" t="n"/>
      <c r="Z301" s="19" t="n"/>
      <c r="AA301" s="19" t="n"/>
      <c r="AB301" s="19" t="n"/>
      <c r="AC301" s="19" t="n"/>
      <c r="AD301" s="19" t="n"/>
      <c r="AE301" s="19" t="n">
        <v>-4.893725</v>
      </c>
      <c r="AF301" s="19" t="n"/>
      <c r="AG301" s="19" t="n"/>
      <c r="AH301" s="19" t="n"/>
      <c r="AI301" s="19" t="n">
        <v>6.5678096</v>
      </c>
      <c r="AJ301" s="19" t="n">
        <v>7.8444805</v>
      </c>
      <c r="AK301" s="19" t="n">
        <v>-0.85389423</v>
      </c>
      <c r="AL301" s="19" t="inlineStr">
        <is>
          <t>Equity Scheme - Sectoral/ Thematic</t>
        </is>
      </c>
      <c r="AM301" s="19" t="n">
        <v>0.8</v>
      </c>
      <c r="AN301" s="19" t="n">
        <v>0</v>
      </c>
      <c r="AO301" s="19" t="n">
        <v>0.05</v>
      </c>
      <c r="AP301" s="19" t="n">
        <v>0.09</v>
      </c>
      <c r="AQ301" s="19" t="n">
        <v>0.9399999999999999</v>
      </c>
      <c r="AR301" s="19" t="n">
        <v>0.7</v>
      </c>
      <c r="AS301" s="19" t="n">
        <v>0</v>
      </c>
      <c r="AT301" s="19" t="n">
        <v>0.05</v>
      </c>
      <c r="AU301" s="19" t="n">
        <v>0.09</v>
      </c>
      <c r="AV301" s="19" t="n">
        <v>0.84</v>
      </c>
      <c r="AW301" s="17" t="n">
        <v>-1.28240296255658</v>
      </c>
      <c r="AX301" t="inlineStr">
        <is>
          <t>2cr</t>
        </is>
      </c>
      <c r="AY301" s="26" t="n">
        <v>1.14867254383916</v>
      </c>
      <c r="AZ301" s="26" t="n">
        <v>1.453221061498769</v>
      </c>
      <c r="BA301" s="26" t="n">
        <v>0.7093010743756991</v>
      </c>
      <c r="BB301" s="28" t="n">
        <v>2</v>
      </c>
      <c r="BC301" t="n">
        <v>0</v>
      </c>
      <c r="BD301" t="n">
        <v>0</v>
      </c>
      <c r="BE301" t="n">
        <v>1</v>
      </c>
      <c r="BF301" t="n">
        <v>0</v>
      </c>
      <c r="BG301" t="n">
        <v>0</v>
      </c>
      <c r="BH301" t="n">
        <v>1</v>
      </c>
    </row>
    <row r="302">
      <c r="A302" s="19" t="inlineStr">
        <is>
          <t>Motilal Oswal Services Fund</t>
        </is>
      </c>
      <c r="B302" s="19" t="inlineStr">
        <is>
          <t>sectorial:thematic</t>
        </is>
      </c>
      <c r="C302" s="19" t="inlineStr">
        <is>
          <t>Nifty Services Sector TRI</t>
        </is>
      </c>
      <c r="D302" s="19" t="inlineStr">
        <is>
          <t>Very High</t>
        </is>
      </c>
      <c r="E302" s="19" t="inlineStr">
        <is>
          <t>Very High</t>
        </is>
      </c>
      <c r="F302" s="20" t="n">
        <v>46023</v>
      </c>
      <c r="G302" s="19" t="n">
        <v>10.8908</v>
      </c>
      <c r="H302" s="19" t="n">
        <v>10.9069</v>
      </c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>
        <v>97.84</v>
      </c>
      <c r="W302" s="19" t="n"/>
      <c r="X302" s="19" t="n"/>
      <c r="Y302" s="19" t="n"/>
      <c r="Z302" s="19" t="n"/>
      <c r="AA302" s="19" t="n"/>
      <c r="AB302" s="19" t="n"/>
      <c r="AC302" s="19" t="n"/>
      <c r="AD302" s="19" t="n"/>
      <c r="AE302" s="19" t="n"/>
      <c r="AF302" s="19" t="n"/>
      <c r="AG302" s="19" t="n"/>
      <c r="AH302" s="19" t="n"/>
      <c r="AI302" s="19" t="n"/>
      <c r="AJ302" s="19" t="n"/>
      <c r="AK302" s="19" t="n"/>
      <c r="AL302" s="19" t="inlineStr">
        <is>
          <t>Equity Scheme - Sectoral/ Thematic</t>
        </is>
      </c>
      <c r="AM302" s="19" t="n">
        <v>2.25</v>
      </c>
      <c r="AN302" s="19" t="n">
        <v>0</v>
      </c>
      <c r="AO302" s="19" t="n">
        <v>0.05</v>
      </c>
      <c r="AP302" s="19" t="n">
        <v>0.05</v>
      </c>
      <c r="AQ302" s="19" t="n">
        <v>2.35</v>
      </c>
      <c r="AR302" s="19" t="n">
        <v>0.9</v>
      </c>
      <c r="AS302" s="19" t="n">
        <v>0</v>
      </c>
      <c r="AT302" s="19" t="n">
        <v>0.05</v>
      </c>
      <c r="AU302" s="19" t="n">
        <v>0.05</v>
      </c>
      <c r="AV302" s="19" t="n">
        <v>1</v>
      </c>
      <c r="AW302" s="17" t="n">
        <v>-8.605887162714637</v>
      </c>
      <c r="AX302" t="inlineStr">
        <is>
          <t>8cr</t>
        </is>
      </c>
      <c r="AY302" s="26" t="n">
        <v>1.718866944956554</v>
      </c>
      <c r="AZ302" s="26" t="n">
        <v>1.453221061498769</v>
      </c>
      <c r="BA302" s="26" t="n">
        <v>0.6800502565092805</v>
      </c>
      <c r="BB302" s="28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</row>
    <row r="303">
      <c r="A303" s="19" t="inlineStr">
        <is>
          <t>Motilal Oswal Special Opportunities Fund</t>
        </is>
      </c>
      <c r="B303" s="19" t="inlineStr">
        <is>
          <t>sectorial:thematic</t>
        </is>
      </c>
      <c r="C303" s="19" t="inlineStr">
        <is>
          <t>Nifty 500 TRI</t>
        </is>
      </c>
      <c r="D303" s="19" t="inlineStr">
        <is>
          <t>Very High</t>
        </is>
      </c>
      <c r="E303" s="19" t="inlineStr">
        <is>
          <t>Very High</t>
        </is>
      </c>
      <c r="F303" s="20" t="n">
        <v>46023</v>
      </c>
      <c r="G303" s="19" t="n">
        <v>10.6696</v>
      </c>
      <c r="H303" s="19" t="n">
        <v>10.6737</v>
      </c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>
        <v>68.79000000000001</v>
      </c>
      <c r="W303" s="19" t="n"/>
      <c r="X303" s="19" t="n"/>
      <c r="Y303" s="19" t="n"/>
      <c r="Z303" s="19" t="n"/>
      <c r="AA303" s="19" t="n"/>
      <c r="AB303" s="19" t="n"/>
      <c r="AC303" s="19" t="n"/>
      <c r="AD303" s="19" t="n"/>
      <c r="AE303" s="19" t="n"/>
      <c r="AF303" s="19" t="n"/>
      <c r="AG303" s="19" t="n"/>
      <c r="AH303" s="19" t="n"/>
      <c r="AI303" s="19" t="n"/>
      <c r="AJ303" s="19" t="n"/>
      <c r="AK303" s="19" t="n"/>
      <c r="AL303" s="19" t="inlineStr">
        <is>
          <t>Equity Scheme - Sectoral/ Thematic</t>
        </is>
      </c>
      <c r="AM303" s="19" t="n">
        <v>2.25</v>
      </c>
      <c r="AN303" s="19" t="n">
        <v>0</v>
      </c>
      <c r="AO303" s="19" t="n">
        <v>0.05</v>
      </c>
      <c r="AP303" s="19" t="n">
        <v>0.28</v>
      </c>
      <c r="AQ303" s="19" t="n">
        <v>2.58</v>
      </c>
      <c r="AR303" s="19" t="n">
        <v>2.15</v>
      </c>
      <c r="AS303" s="19" t="n">
        <v>0</v>
      </c>
      <c r="AT303" s="19" t="n">
        <v>0.05</v>
      </c>
      <c r="AU303" s="19" t="n">
        <v>0.28</v>
      </c>
      <c r="AV303" s="19" t="n">
        <v>2.48</v>
      </c>
      <c r="AW303" s="17" t="n">
        <v>-0.0145369966564982</v>
      </c>
      <c r="AX303" t="inlineStr">
        <is>
          <t>0cr</t>
        </is>
      </c>
      <c r="AY303" s="26" t="n">
        <v>2.051487463525803</v>
      </c>
      <c r="AZ303" s="26" t="n">
        <v>1.453221061498769</v>
      </c>
      <c r="BA303" s="26" t="n">
        <v>0.7772130595336609</v>
      </c>
      <c r="BB303" s="28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</row>
    <row r="304">
      <c r="A304" s="19" t="inlineStr">
        <is>
          <t>Nippon India Active Momentum Fund</t>
        </is>
      </c>
      <c r="B304" s="19" t="inlineStr">
        <is>
          <t>sectorial:thematic</t>
        </is>
      </c>
      <c r="C304" s="19" t="inlineStr">
        <is>
          <t>Nifty 500 TRI</t>
        </is>
      </c>
      <c r="D304" s="19" t="inlineStr">
        <is>
          <t>Very High</t>
        </is>
      </c>
      <c r="E304" s="19" t="inlineStr">
        <is>
          <t>Very High</t>
        </is>
      </c>
      <c r="F304" s="20" t="n">
        <v>46023</v>
      </c>
      <c r="G304" s="19" t="n">
        <v>12.1157</v>
      </c>
      <c r="H304" s="19" t="n">
        <v>12.2151</v>
      </c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>
        <v>327.26</v>
      </c>
      <c r="W304" s="19" t="n"/>
      <c r="X304" s="19" t="n"/>
      <c r="Y304" s="19" t="n"/>
      <c r="Z304" s="19" t="n"/>
      <c r="AA304" s="19" t="n"/>
      <c r="AB304" s="19" t="n"/>
      <c r="AC304" s="19" t="n"/>
      <c r="AD304" s="19" t="n"/>
      <c r="AE304" s="19" t="n"/>
      <c r="AF304" s="19" t="n"/>
      <c r="AG304" s="19" t="n"/>
      <c r="AH304" s="19" t="n"/>
      <c r="AI304" s="19" t="n"/>
      <c r="AJ304" s="19" t="n"/>
      <c r="AK304" s="19" t="n"/>
      <c r="AL304" s="19" t="inlineStr">
        <is>
          <t>Equity Scheme - Sectoral/ Thematic</t>
        </is>
      </c>
      <c r="AM304" s="19" t="n">
        <v>1.58</v>
      </c>
      <c r="AN304" s="19" t="n">
        <v>0</v>
      </c>
      <c r="AO304" s="19" t="n">
        <v>0</v>
      </c>
      <c r="AP304" s="19" t="n">
        <v>0.09</v>
      </c>
      <c r="AQ304" s="19" t="n">
        <v>1.67</v>
      </c>
      <c r="AR304" s="19" t="n">
        <v>0.6</v>
      </c>
      <c r="AS304" s="19" t="n">
        <v>0</v>
      </c>
      <c r="AT304" s="19" t="n">
        <v>0</v>
      </c>
      <c r="AU304" s="19" t="n">
        <v>0.09</v>
      </c>
      <c r="AV304" s="19" t="n">
        <v>0.6899999999999999</v>
      </c>
      <c r="AW304" s="17" t="n">
        <v>-5.860783474912915</v>
      </c>
      <c r="AX304" t="inlineStr">
        <is>
          <t>19cr</t>
        </is>
      </c>
      <c r="AY304" s="26" t="n">
        <v>1.189732036179666</v>
      </c>
      <c r="AZ304" s="26" t="n">
        <v>1.453221061498769</v>
      </c>
      <c r="BA304" s="26" t="n">
        <v>0.632196861994457</v>
      </c>
      <c r="BB304" s="28" t="n">
        <v>2</v>
      </c>
      <c r="BC304" t="n">
        <v>0</v>
      </c>
      <c r="BD304" t="n">
        <v>0</v>
      </c>
      <c r="BE304" t="n">
        <v>1</v>
      </c>
      <c r="BF304" t="n">
        <v>0</v>
      </c>
      <c r="BG304" t="n">
        <v>0</v>
      </c>
      <c r="BH304" t="n">
        <v>1</v>
      </c>
    </row>
    <row r="305">
      <c r="A305" s="19" t="inlineStr">
        <is>
          <t>Nippon India Banking &amp; Financial Services Fund</t>
        </is>
      </c>
      <c r="B305" s="19" t="inlineStr">
        <is>
          <t>sectorial:thematic</t>
        </is>
      </c>
      <c r="C305" s="19" t="inlineStr">
        <is>
          <t>Nifty Financial Services TRI</t>
        </is>
      </c>
      <c r="D305" s="19" t="inlineStr">
        <is>
          <t>Very High</t>
        </is>
      </c>
      <c r="E305" s="19" t="inlineStr">
        <is>
          <t>Very High</t>
        </is>
      </c>
      <c r="F305" s="20" t="n">
        <v>46023</v>
      </c>
      <c r="G305" s="19" t="n">
        <v>661.6826</v>
      </c>
      <c r="H305" s="19" t="n">
        <v>725.895</v>
      </c>
      <c r="I305" s="19" t="n">
        <v>18.076462</v>
      </c>
      <c r="J305" s="19" t="n">
        <v>-0.2137580000000021</v>
      </c>
      <c r="K305" s="19" t="n">
        <v>18.29022</v>
      </c>
      <c r="L305" s="19" t="n">
        <v>18.138817</v>
      </c>
      <c r="M305" s="19" t="n">
        <v>3.680227</v>
      </c>
      <c r="N305" s="19" t="n">
        <v>14.45859</v>
      </c>
      <c r="O305" s="19" t="n">
        <v>21.156057</v>
      </c>
      <c r="P305" s="19" t="n">
        <v>7.435005</v>
      </c>
      <c r="Q305" s="19" t="n">
        <v>13.721052</v>
      </c>
      <c r="R305" s="19" t="n">
        <v>15.539895</v>
      </c>
      <c r="S305" s="19" t="n">
        <v>0.06804649999999945</v>
      </c>
      <c r="T305" s="19" t="n">
        <v>15.4718485</v>
      </c>
      <c r="U305" s="19" t="n">
        <v>20.856422</v>
      </c>
      <c r="V305" s="19" t="n">
        <v>7795.79</v>
      </c>
      <c r="W305" s="19" t="n">
        <v>-0.05017789575660399</v>
      </c>
      <c r="X305" s="19" t="n">
        <v>-0.2484340702546431</v>
      </c>
      <c r="Y305" s="19" t="n">
        <v>0.003949035333676617</v>
      </c>
      <c r="Z305" s="19" t="n">
        <v>-0.1024334950731206</v>
      </c>
      <c r="AA305" s="19" t="n">
        <v>0.6323284944726341</v>
      </c>
      <c r="AB305" s="19" t="n">
        <v>0.4655543713140202</v>
      </c>
      <c r="AC305" s="19" t="n">
        <v>0.9973480710447272</v>
      </c>
      <c r="AD305" s="19" t="n">
        <v>0.8689030035291878</v>
      </c>
      <c r="AE305" s="19" t="n">
        <v>17.074562</v>
      </c>
      <c r="AF305" s="19" t="n">
        <v>14.6470585</v>
      </c>
      <c r="AG305" s="19" t="n">
        <v>17.188375</v>
      </c>
      <c r="AH305" s="19" t="n">
        <v>20.189135</v>
      </c>
      <c r="AI305" s="19" t="n"/>
      <c r="AJ305" s="19" t="n"/>
      <c r="AK305" s="19" t="n">
        <v>20.36256</v>
      </c>
      <c r="AL305" s="19" t="inlineStr">
        <is>
          <t>Equity Scheme - Sectoral/ Thematic</t>
        </is>
      </c>
      <c r="AM305" s="19" t="n">
        <v>1.64</v>
      </c>
      <c r="AN305" s="19" t="n">
        <v>0</v>
      </c>
      <c r="AO305" s="19" t="n">
        <v>0.05</v>
      </c>
      <c r="AP305" s="19" t="n">
        <v>0.14</v>
      </c>
      <c r="AQ305" s="19" t="n">
        <v>1.83</v>
      </c>
      <c r="AR305" s="19" t="n">
        <v>0.77</v>
      </c>
      <c r="AS305" s="19" t="n">
        <v>0</v>
      </c>
      <c r="AT305" s="19" t="n">
        <v>0.05</v>
      </c>
      <c r="AU305" s="19" t="n">
        <v>0.14</v>
      </c>
      <c r="AV305" s="19" t="n">
        <v>0.96</v>
      </c>
      <c r="AW305" s="17" t="n">
        <v>-0.01398190561829071</v>
      </c>
      <c r="AX305" t="inlineStr">
        <is>
          <t>1cr</t>
        </is>
      </c>
      <c r="AY305" s="26" t="n">
        <v>1.993771155053681</v>
      </c>
      <c r="AZ305" s="26" t="n">
        <v>1.453221061498769</v>
      </c>
      <c r="BA305" s="26" t="n">
        <v>0.5292109897634032</v>
      </c>
      <c r="BB305" s="28" t="n">
        <v>1</v>
      </c>
      <c r="BC305" t="n">
        <v>1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</row>
    <row r="306">
      <c r="A306" s="19" t="inlineStr">
        <is>
          <t>Nippon India Consumption Fund</t>
        </is>
      </c>
      <c r="B306" s="19" t="inlineStr">
        <is>
          <t>sectorial:thematic</t>
        </is>
      </c>
      <c r="C306" s="19" t="inlineStr">
        <is>
          <t>Nifty India Consumption TRI</t>
        </is>
      </c>
      <c r="D306" s="19" t="inlineStr">
        <is>
          <t>Very High</t>
        </is>
      </c>
      <c r="E306" s="19" t="inlineStr">
        <is>
          <t>Very High</t>
        </is>
      </c>
      <c r="F306" s="20" t="n">
        <v>46023</v>
      </c>
      <c r="G306" s="19" t="n">
        <v>198.4078</v>
      </c>
      <c r="H306" s="19" t="n">
        <v>224.2964</v>
      </c>
      <c r="I306" s="19" t="n">
        <v>3.133554</v>
      </c>
      <c r="J306" s="19" t="n">
        <v>-4.976158999999999</v>
      </c>
      <c r="K306" s="19" t="n">
        <v>8.109712999999999</v>
      </c>
      <c r="L306" s="19" t="n">
        <v>17.04683</v>
      </c>
      <c r="M306" s="19" t="n">
        <v>-1.459861</v>
      </c>
      <c r="N306" s="19" t="n">
        <v>18.506691</v>
      </c>
      <c r="O306" s="19" t="n">
        <v>19.69268</v>
      </c>
      <c r="P306" s="19" t="n">
        <v>2.917130999999998</v>
      </c>
      <c r="Q306" s="19" t="n">
        <v>16.775549</v>
      </c>
      <c r="R306" s="19" t="n">
        <v>13.960956</v>
      </c>
      <c r="S306" s="19" t="n">
        <v>-0.2665210000000009</v>
      </c>
      <c r="T306" s="19" t="n">
        <v>14.227477</v>
      </c>
      <c r="U306" s="19" t="n">
        <v>14.243777</v>
      </c>
      <c r="V306" s="19" t="n">
        <v>2746.43</v>
      </c>
      <c r="W306" s="19" t="n">
        <v>-1.305377322565882</v>
      </c>
      <c r="X306" s="19" t="n">
        <v>-1.682769067077006</v>
      </c>
      <c r="Y306" s="19" t="n">
        <v>-0.0341187043272629</v>
      </c>
      <c r="Z306" s="19" t="n">
        <v>-0.1703550969500634</v>
      </c>
      <c r="AA306" s="19" t="n">
        <v>-0.3173915981524812</v>
      </c>
      <c r="AB306" s="19" t="n">
        <v>-0.6153637040530786</v>
      </c>
      <c r="AC306" s="19" t="n">
        <v>0.4453280802391126</v>
      </c>
      <c r="AD306" s="19" t="n">
        <v>0.2112817527895413</v>
      </c>
      <c r="AE306" s="19" t="n">
        <v>1.6940309</v>
      </c>
      <c r="AF306" s="19" t="n">
        <v>12.822836</v>
      </c>
      <c r="AG306" s="19" t="n">
        <v>15.564496</v>
      </c>
      <c r="AH306" s="19" t="n">
        <v>18.23344</v>
      </c>
      <c r="AI306" s="19" t="n"/>
      <c r="AJ306" s="19" t="n">
        <v>14.689265</v>
      </c>
      <c r="AK306" s="19" t="n">
        <v>15.094795</v>
      </c>
      <c r="AL306" s="19" t="inlineStr">
        <is>
          <t>Equity Scheme - Sectoral/ Thematic</t>
        </is>
      </c>
      <c r="AM306" s="19" t="n">
        <v>1.84</v>
      </c>
      <c r="AN306" s="19" t="n">
        <v>0</v>
      </c>
      <c r="AO306" s="19" t="n">
        <v>0.05</v>
      </c>
      <c r="AP306" s="19" t="n">
        <v>0.08</v>
      </c>
      <c r="AQ306" s="19" t="n">
        <v>1.97</v>
      </c>
      <c r="AR306" s="19" t="n">
        <v>0.47</v>
      </c>
      <c r="AS306" s="19" t="n">
        <v>0</v>
      </c>
      <c r="AT306" s="19" t="n">
        <v>0.05</v>
      </c>
      <c r="AU306" s="19" t="n">
        <v>0.08</v>
      </c>
      <c r="AV306" s="19" t="n">
        <v>0.6</v>
      </c>
      <c r="AW306" s="17" t="n">
        <v>1.113809563688139</v>
      </c>
      <c r="AX306" s="18" t="inlineStr">
        <is>
          <t>-31cr</t>
        </is>
      </c>
      <c r="AY306" s="26" t="n">
        <v>1.32371086779834</v>
      </c>
      <c r="AZ306" s="26" t="n">
        <v>1.453221061498769</v>
      </c>
      <c r="BA306" s="26" t="n">
        <v>0.4834502561225896</v>
      </c>
      <c r="BB306" s="28" t="n">
        <v>3</v>
      </c>
      <c r="BC306" t="n">
        <v>0</v>
      </c>
      <c r="BD306" t="n">
        <v>1</v>
      </c>
      <c r="BE306" t="n">
        <v>1</v>
      </c>
      <c r="BF306" t="n">
        <v>0</v>
      </c>
      <c r="BG306" t="n">
        <v>0</v>
      </c>
      <c r="BH306" t="n">
        <v>1</v>
      </c>
    </row>
    <row r="307">
      <c r="A307" s="19" t="inlineStr">
        <is>
          <t>Nippon India Innovation Fund</t>
        </is>
      </c>
      <c r="B307" s="19" t="inlineStr">
        <is>
          <t>sectorial:thematic</t>
        </is>
      </c>
      <c r="C307" s="19" t="inlineStr">
        <is>
          <t>Nifty 500 TRI</t>
        </is>
      </c>
      <c r="D307" s="19" t="inlineStr">
        <is>
          <t>Very High</t>
        </is>
      </c>
      <c r="E307" s="19" t="inlineStr">
        <is>
          <t>Very High</t>
        </is>
      </c>
      <c r="F307" s="20" t="n">
        <v>46023</v>
      </c>
      <c r="G307" s="19" t="n">
        <v>14.3778</v>
      </c>
      <c r="H307" s="19" t="n">
        <v>14.8324</v>
      </c>
      <c r="I307" s="19" t="n">
        <v>6.7539945</v>
      </c>
      <c r="J307" s="19" t="n">
        <v>-0.6650337999999998</v>
      </c>
      <c r="K307" s="19" t="n">
        <v>7.4190283</v>
      </c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>
        <v>18.305483</v>
      </c>
      <c r="V307" s="19" t="n">
        <v>2865</v>
      </c>
      <c r="W307" s="19" t="n">
        <v>-0.08959669214221389</v>
      </c>
      <c r="X307" s="19" t="n">
        <v>-0.327835077101663</v>
      </c>
      <c r="Y307" s="19" t="n"/>
      <c r="Z307" s="19" t="n"/>
      <c r="AA307" s="19" t="n"/>
      <c r="AB307" s="19" t="n"/>
      <c r="AC307" s="19" t="n"/>
      <c r="AD307" s="19" t="n"/>
      <c r="AE307" s="19" t="n">
        <v>5.3403573</v>
      </c>
      <c r="AF307" s="19" t="n"/>
      <c r="AG307" s="19" t="n"/>
      <c r="AH307" s="19" t="n"/>
      <c r="AI307" s="19" t="n">
        <v>16.90673</v>
      </c>
      <c r="AJ307" s="19" t="n">
        <v>16.90673</v>
      </c>
      <c r="AK307" s="19" t="n">
        <v>16.745554</v>
      </c>
      <c r="AL307" s="19" t="inlineStr">
        <is>
          <t>Equity Scheme - Sectoral/ Thematic</t>
        </is>
      </c>
      <c r="AM307" s="19" t="n">
        <v>1.83</v>
      </c>
      <c r="AN307" s="19" t="n">
        <v>0</v>
      </c>
      <c r="AO307" s="19" t="n">
        <v>0.05</v>
      </c>
      <c r="AP307" s="19" t="n">
        <v>0.09</v>
      </c>
      <c r="AQ307" s="19" t="n">
        <v>1.97</v>
      </c>
      <c r="AR307" s="19" t="n">
        <v>0.52</v>
      </c>
      <c r="AS307" s="19" t="n">
        <v>0</v>
      </c>
      <c r="AT307" s="19" t="n">
        <v>0.05</v>
      </c>
      <c r="AU307" s="19" t="n">
        <v>0.09</v>
      </c>
      <c r="AV307" s="19" t="n">
        <v>0.66</v>
      </c>
      <c r="AW307" s="17" t="n">
        <v>1.139965095986033</v>
      </c>
      <c r="AX307" s="18" t="inlineStr">
        <is>
          <t>-33cr</t>
        </is>
      </c>
      <c r="AY307" s="26" t="n">
        <v>0.7813771260026829</v>
      </c>
      <c r="AZ307" s="26" t="n">
        <v>1.453221061498769</v>
      </c>
      <c r="BA307" s="26" t="n">
        <v>0.6170453451860393</v>
      </c>
      <c r="BB307" s="28" t="n">
        <v>4</v>
      </c>
      <c r="BC307" t="n">
        <v>1</v>
      </c>
      <c r="BD307" t="n">
        <v>1</v>
      </c>
      <c r="BE307" t="n">
        <v>1</v>
      </c>
      <c r="BF307" t="n">
        <v>0</v>
      </c>
      <c r="BG307" t="n">
        <v>0</v>
      </c>
      <c r="BH307" t="n">
        <v>1</v>
      </c>
    </row>
    <row r="308">
      <c r="A308" s="19" t="inlineStr">
        <is>
          <t>Nippon India MNC Fund</t>
        </is>
      </c>
      <c r="B308" s="19" t="inlineStr">
        <is>
          <t>sectorial:thematic</t>
        </is>
      </c>
      <c r="C308" s="19" t="inlineStr">
        <is>
          <t>Nifty MNC TRI</t>
        </is>
      </c>
      <c r="D308" s="19" t="inlineStr">
        <is>
          <t>Very High</t>
        </is>
      </c>
      <c r="E308" s="19" t="inlineStr">
        <is>
          <t>Very High</t>
        </is>
      </c>
      <c r="F308" s="20" t="n">
        <v>46023</v>
      </c>
      <c r="G308" s="19" t="n">
        <v>10.8391</v>
      </c>
      <c r="H308" s="19" t="n">
        <v>10.9035</v>
      </c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>
        <v>441.87</v>
      </c>
      <c r="W308" s="19" t="n"/>
      <c r="X308" s="19" t="n"/>
      <c r="Y308" s="19" t="n"/>
      <c r="Z308" s="19" t="n"/>
      <c r="AA308" s="19" t="n"/>
      <c r="AB308" s="19" t="n"/>
      <c r="AC308" s="19" t="n"/>
      <c r="AD308" s="19" t="n"/>
      <c r="AE308" s="19" t="n"/>
      <c r="AF308" s="19" t="n"/>
      <c r="AG308" s="19" t="n"/>
      <c r="AH308" s="19" t="n"/>
      <c r="AI308" s="19" t="n"/>
      <c r="AJ308" s="19" t="n"/>
      <c r="AK308" s="19" t="n"/>
      <c r="AL308" s="19" t="inlineStr">
        <is>
          <t>Equity Scheme - Sectoral/ Thematic</t>
        </is>
      </c>
      <c r="AM308" s="19" t="n">
        <v>2.25</v>
      </c>
      <c r="AN308" s="19" t="n">
        <v>0</v>
      </c>
      <c r="AO308" s="19" t="n">
        <v>0.05</v>
      </c>
      <c r="AP308" s="19" t="n">
        <v>0.17</v>
      </c>
      <c r="AQ308" s="19" t="n">
        <v>2.47</v>
      </c>
      <c r="AR308" s="19" t="n">
        <v>0.97</v>
      </c>
      <c r="AS308" s="19" t="n">
        <v>0</v>
      </c>
      <c r="AT308" s="19" t="n">
        <v>0.05</v>
      </c>
      <c r="AU308" s="19" t="n">
        <v>0.17</v>
      </c>
      <c r="AV308" s="19" t="n">
        <v>1.19</v>
      </c>
      <c r="AW308" s="17" t="n">
        <v>-1.14739629302736</v>
      </c>
      <c r="AX308" t="inlineStr">
        <is>
          <t>5cr</t>
        </is>
      </c>
      <c r="AY308" s="26" t="n">
        <v>1.009522685065333</v>
      </c>
      <c r="AZ308" s="26" t="n">
        <v>1.453221061498769</v>
      </c>
      <c r="BA308" s="26" t="n">
        <v>0.4801752001471236</v>
      </c>
      <c r="BB308" s="2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</v>
      </c>
    </row>
    <row r="309">
      <c r="A309" s="19" t="inlineStr">
        <is>
          <t>Nippon India Pharma Fund</t>
        </is>
      </c>
      <c r="B309" s="19" t="inlineStr">
        <is>
          <t>sectorial:thematic</t>
        </is>
      </c>
      <c r="C309" s="19" t="inlineStr">
        <is>
          <t>BSE Healthcare TRI</t>
        </is>
      </c>
      <c r="D309" s="19" t="inlineStr">
        <is>
          <t>Very High</t>
        </is>
      </c>
      <c r="E309" s="19" t="inlineStr">
        <is>
          <t>Very High</t>
        </is>
      </c>
      <c r="F309" s="20" t="n">
        <v>46023</v>
      </c>
      <c r="G309" s="19" t="n">
        <v>509.1922</v>
      </c>
      <c r="H309" s="19" t="n">
        <v>569.5078999999999</v>
      </c>
      <c r="I309" s="19" t="n">
        <v>-2.936046</v>
      </c>
      <c r="J309" s="19" t="n">
        <v>0.3417489999999996</v>
      </c>
      <c r="K309" s="19" t="n">
        <v>-3.277795</v>
      </c>
      <c r="L309" s="19" t="n">
        <v>22.70653</v>
      </c>
      <c r="M309" s="19" t="n">
        <v>-1.804714000000001</v>
      </c>
      <c r="N309" s="19" t="n">
        <v>24.511244</v>
      </c>
      <c r="O309" s="19" t="n">
        <v>15.88145</v>
      </c>
      <c r="P309" s="19" t="n">
        <v>0.3000469999999993</v>
      </c>
      <c r="Q309" s="19" t="n">
        <v>15.581403</v>
      </c>
      <c r="R309" s="19" t="n">
        <v>14.0229225</v>
      </c>
      <c r="S309" s="19" t="n">
        <v>3.395706499999999</v>
      </c>
      <c r="T309" s="19" t="n">
        <v>10.627216</v>
      </c>
      <c r="U309" s="19" t="n">
        <v>17.507599</v>
      </c>
      <c r="V309" s="19" t="n">
        <v>8259.200000000001</v>
      </c>
      <c r="W309" s="19" t="n">
        <v>0.05013667818912312</v>
      </c>
      <c r="X309" s="19" t="n">
        <v>-0.1592883843905213</v>
      </c>
      <c r="Y309" s="19" t="n">
        <v>0.5784627948841312</v>
      </c>
      <c r="Z309" s="19" t="n">
        <v>0.3960333167196214</v>
      </c>
      <c r="AA309" s="19" t="n">
        <v>-0.3999342478224663</v>
      </c>
      <c r="AB309" s="19" t="n">
        <v>-0.62669707043653</v>
      </c>
      <c r="AC309" s="19" t="n">
        <v>0.04299641879878784</v>
      </c>
      <c r="AD309" s="19" t="n">
        <v>-0.1846910641993728</v>
      </c>
      <c r="AE309" s="19" t="n">
        <v>-3.8121355</v>
      </c>
      <c r="AF309" s="19" t="n">
        <v>13.008856</v>
      </c>
      <c r="AG309" s="19" t="n">
        <v>21.61952</v>
      </c>
      <c r="AH309" s="19" t="n">
        <v>14.831306</v>
      </c>
      <c r="AI309" s="19" t="n"/>
      <c r="AJ309" s="19" t="n">
        <v>14.4618</v>
      </c>
      <c r="AK309" s="19" t="n">
        <v>19.96717</v>
      </c>
      <c r="AL309" s="19" t="inlineStr">
        <is>
          <t>Equity Scheme - Sectoral/ Thematic</t>
        </is>
      </c>
      <c r="AM309" s="19" t="n">
        <v>1.64</v>
      </c>
      <c r="AN309" s="19" t="n">
        <v>0</v>
      </c>
      <c r="AO309" s="19" t="n">
        <v>0.05</v>
      </c>
      <c r="AP309" s="19" t="n">
        <v>0.14</v>
      </c>
      <c r="AQ309" s="19" t="n">
        <v>1.83</v>
      </c>
      <c r="AR309" s="19" t="n">
        <v>0.74</v>
      </c>
      <c r="AS309" s="19" t="n">
        <v>0</v>
      </c>
      <c r="AT309" s="19" t="n">
        <v>0.05</v>
      </c>
      <c r="AU309" s="19" t="n">
        <v>0.14</v>
      </c>
      <c r="AV309" s="19" t="n">
        <v>0.93</v>
      </c>
      <c r="AW309" s="17" t="n">
        <v>1.68490895001937</v>
      </c>
      <c r="AX309" s="18" t="inlineStr">
        <is>
          <t>-139cr</t>
        </is>
      </c>
      <c r="AY309" s="26" t="n">
        <v>1.012336491007378</v>
      </c>
      <c r="AZ309" s="26" t="n">
        <v>1.453221061498769</v>
      </c>
      <c r="BA309" s="26" t="n">
        <v>0.5193368660049654</v>
      </c>
      <c r="BB309" s="28" t="n">
        <v>3</v>
      </c>
      <c r="BC309" t="n">
        <v>0</v>
      </c>
      <c r="BD309" t="n">
        <v>1</v>
      </c>
      <c r="BE309" t="n">
        <v>0</v>
      </c>
      <c r="BF309" t="n">
        <v>1</v>
      </c>
      <c r="BG309" t="n">
        <v>0</v>
      </c>
      <c r="BH309" t="n">
        <v>1</v>
      </c>
    </row>
    <row r="310">
      <c r="A310" s="19" t="inlineStr">
        <is>
          <t>Nippon India Power &amp; Infra Fund</t>
        </is>
      </c>
      <c r="B310" s="19" t="inlineStr">
        <is>
          <t>sectorial:thematic</t>
        </is>
      </c>
      <c r="C310" s="19" t="inlineStr">
        <is>
          <t>Nifty Infrastructure TRI</t>
        </is>
      </c>
      <c r="D310" s="19" t="inlineStr">
        <is>
          <t>Very High</t>
        </is>
      </c>
      <c r="E310" s="19" t="inlineStr">
        <is>
          <t>Very High</t>
        </is>
      </c>
      <c r="F310" s="20" t="n">
        <v>46023</v>
      </c>
      <c r="G310" s="19" t="n">
        <v>347.9706</v>
      </c>
      <c r="H310" s="19" t="n">
        <v>378.2155</v>
      </c>
      <c r="I310" s="19" t="n">
        <v>0.5862058</v>
      </c>
      <c r="J310" s="19" t="n">
        <v>-14.2999752</v>
      </c>
      <c r="K310" s="19" t="n">
        <v>14.886181</v>
      </c>
      <c r="L310" s="19" t="n">
        <v>27.078777</v>
      </c>
      <c r="M310" s="19" t="n">
        <v>3.561139999999998</v>
      </c>
      <c r="N310" s="19" t="n">
        <v>23.517637</v>
      </c>
      <c r="O310" s="19" t="n">
        <v>27.70433</v>
      </c>
      <c r="P310" s="19" t="n">
        <v>5.047124</v>
      </c>
      <c r="Q310" s="19" t="n">
        <v>22.657206</v>
      </c>
      <c r="R310" s="19" t="n">
        <v>17.054588</v>
      </c>
      <c r="S310" s="19" t="n">
        <v>2.271318999999998</v>
      </c>
      <c r="T310" s="19" t="n">
        <v>14.783269</v>
      </c>
      <c r="U310" s="19" t="n">
        <v>15.164281</v>
      </c>
      <c r="V310" s="19" t="n">
        <v>7159.67</v>
      </c>
      <c r="W310" s="19" t="n">
        <v>-1.930261975955377</v>
      </c>
      <c r="X310" s="19" t="n">
        <v>-2.061066533468016</v>
      </c>
      <c r="Y310" s="19" t="n">
        <v>0.2425198055717561</v>
      </c>
      <c r="Z310" s="19" t="n">
        <v>0.1604374208560245</v>
      </c>
      <c r="AA310" s="19" t="n">
        <v>0.4596001692361261</v>
      </c>
      <c r="AB310" s="19" t="n">
        <v>0.3377910368050216</v>
      </c>
      <c r="AC310" s="19" t="n">
        <v>0.6382718115727474</v>
      </c>
      <c r="AD310" s="19" t="n">
        <v>0.5273792869034678</v>
      </c>
      <c r="AE310" s="19" t="n">
        <v>-0.29115722</v>
      </c>
      <c r="AF310" s="19" t="n">
        <v>16.274273</v>
      </c>
      <c r="AG310" s="19" t="n">
        <v>26.090326</v>
      </c>
      <c r="AH310" s="19" t="n">
        <v>26.801216</v>
      </c>
      <c r="AI310" s="19" t="n">
        <v>11.744013</v>
      </c>
      <c r="AJ310" s="19" t="n">
        <v>12.025623</v>
      </c>
      <c r="AK310" s="19" t="n">
        <v>17.784536</v>
      </c>
      <c r="AL310" s="19" t="inlineStr">
        <is>
          <t>Equity Scheme - Sectoral/ Thematic</t>
        </is>
      </c>
      <c r="AM310" s="19" t="n">
        <v>1.66</v>
      </c>
      <c r="AN310" s="19" t="n">
        <v>0</v>
      </c>
      <c r="AO310" s="19" t="n">
        <v>0.05</v>
      </c>
      <c r="AP310" s="19" t="n">
        <v>0.13</v>
      </c>
      <c r="AQ310" s="19" t="n">
        <v>1.84</v>
      </c>
      <c r="AR310" s="19" t="n">
        <v>0.78</v>
      </c>
      <c r="AS310" s="19" t="n">
        <v>0</v>
      </c>
      <c r="AT310" s="19" t="n">
        <v>0.05</v>
      </c>
      <c r="AU310" s="19" t="n">
        <v>0.13</v>
      </c>
      <c r="AV310" s="19" t="n">
        <v>0.96</v>
      </c>
      <c r="AW310" s="17" t="n">
        <v>1.913496013084402</v>
      </c>
      <c r="AX310" s="18" t="inlineStr">
        <is>
          <t>-137cr</t>
        </is>
      </c>
      <c r="AY310" s="26" t="n">
        <v>1.601428177698934</v>
      </c>
      <c r="AZ310" s="26" t="n">
        <v>1.453221061498769</v>
      </c>
      <c r="BA310" s="26" t="n">
        <v>0.6437845352086657</v>
      </c>
      <c r="BB310" s="28" t="n">
        <v>1</v>
      </c>
      <c r="BC310" t="n">
        <v>0</v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</row>
    <row r="311">
      <c r="A311" s="19" t="inlineStr">
        <is>
          <t>Nippon India Quant Fund</t>
        </is>
      </c>
      <c r="B311" s="19" t="inlineStr">
        <is>
          <t>sectorial:thematic</t>
        </is>
      </c>
      <c r="C311" s="19" t="inlineStr">
        <is>
          <t>BSE 200 TRI</t>
        </is>
      </c>
      <c r="D311" s="19" t="inlineStr">
        <is>
          <t>Very High</t>
        </is>
      </c>
      <c r="E311" s="19" t="inlineStr">
        <is>
          <t>Very High</t>
        </is>
      </c>
      <c r="F311" s="20" t="n">
        <v>46023</v>
      </c>
      <c r="G311" s="19" t="n">
        <v>74.46720000000001</v>
      </c>
      <c r="H311" s="19" t="n">
        <v>80.85120000000001</v>
      </c>
      <c r="I311" s="19" t="n">
        <v>8.4111595</v>
      </c>
      <c r="J311" s="19" t="n">
        <v>-0.6740425000000005</v>
      </c>
      <c r="K311" s="19" t="n">
        <v>9.085202000000001</v>
      </c>
      <c r="L311" s="19" t="n">
        <v>21.148085</v>
      </c>
      <c r="M311" s="19" t="n">
        <v>5.110259999999997</v>
      </c>
      <c r="N311" s="19" t="n">
        <v>16.037825</v>
      </c>
      <c r="O311" s="19" t="n">
        <v>20.440859</v>
      </c>
      <c r="P311" s="19" t="n">
        <v>4.177344999999999</v>
      </c>
      <c r="Q311" s="19" t="n">
        <v>16.263514</v>
      </c>
      <c r="R311" s="19" t="n">
        <v>15.383416</v>
      </c>
      <c r="S311" s="19" t="n">
        <v>0.6212300000000006</v>
      </c>
      <c r="T311" s="19" t="n">
        <v>14.762186</v>
      </c>
      <c r="U311" s="19" t="n">
        <v>14.166249</v>
      </c>
      <c r="V311" s="19" t="n">
        <v>110.39</v>
      </c>
      <c r="W311" s="19" t="n">
        <v>-0.2262761298147538</v>
      </c>
      <c r="X311" s="19" t="n">
        <v>-0.42186727613631</v>
      </c>
      <c r="Y311" s="19" t="n">
        <v>0.112969497563694</v>
      </c>
      <c r="Z311" s="19" t="n">
        <v>0.00778146396656549</v>
      </c>
      <c r="AA311" s="19" t="n">
        <v>1.324368133952787</v>
      </c>
      <c r="AB311" s="19" t="n">
        <v>1.171905377963713</v>
      </c>
      <c r="AC311" s="19" t="n">
        <v>1.08957959980958</v>
      </c>
      <c r="AD311" s="19" t="n">
        <v>0.9085781808004235</v>
      </c>
      <c r="AE311" s="19" t="n">
        <v>7.88017</v>
      </c>
      <c r="AF311" s="19" t="n">
        <v>14.85343</v>
      </c>
      <c r="AG311" s="19" t="n">
        <v>20.526915</v>
      </c>
      <c r="AH311" s="19" t="n">
        <v>19.71397</v>
      </c>
      <c r="AI311" s="19" t="n">
        <v>11.898431</v>
      </c>
      <c r="AJ311" s="19" t="n">
        <v>14.324881</v>
      </c>
      <c r="AK311" s="19" t="n">
        <v>11.998975</v>
      </c>
      <c r="AL311" s="19" t="inlineStr">
        <is>
          <t>Equity Scheme - Sectoral/ Thematic</t>
        </is>
      </c>
      <c r="AM311" s="19" t="n">
        <v>0.89</v>
      </c>
      <c r="AN311" s="19" t="n">
        <v>0</v>
      </c>
      <c r="AO311" s="19" t="n">
        <v>0</v>
      </c>
      <c r="AP311" s="19" t="n">
        <v>0.07000000000000001</v>
      </c>
      <c r="AQ311" s="19" t="n">
        <v>0.96</v>
      </c>
      <c r="AR311" s="19" t="n">
        <v>0.46</v>
      </c>
      <c r="AS311" s="19" t="n">
        <v>0</v>
      </c>
      <c r="AT311" s="19" t="n">
        <v>0</v>
      </c>
      <c r="AU311" s="19" t="n">
        <v>0.07000000000000001</v>
      </c>
      <c r="AV311" s="19" t="n">
        <v>0.53</v>
      </c>
      <c r="AW311" s="17" t="n">
        <v>-1.313524775794912</v>
      </c>
      <c r="AX311" t="inlineStr">
        <is>
          <t>1cr</t>
        </is>
      </c>
      <c r="AY311" s="26" t="n">
        <v>1.212579104256287</v>
      </c>
      <c r="AZ311" s="26" t="n">
        <v>1.453221061498769</v>
      </c>
      <c r="BA311" s="26" t="n">
        <v>0.4896877320299751</v>
      </c>
      <c r="BB311" s="28" t="n">
        <v>3</v>
      </c>
      <c r="BC311" t="n">
        <v>1</v>
      </c>
      <c r="BD311" t="n">
        <v>0</v>
      </c>
      <c r="BE311" t="n">
        <v>1</v>
      </c>
      <c r="BF311" t="n">
        <v>0</v>
      </c>
      <c r="BG311" t="n">
        <v>0</v>
      </c>
      <c r="BH311" t="n">
        <v>1</v>
      </c>
    </row>
    <row r="312">
      <c r="A312" s="19" t="inlineStr">
        <is>
          <t>Nippon India US Equity Opportunities Fund</t>
        </is>
      </c>
      <c r="B312" s="19" t="inlineStr">
        <is>
          <t>sectorial:thematic</t>
        </is>
      </c>
      <c r="C312" s="19" t="inlineStr">
        <is>
          <t>S&amp;P 500 TRI</t>
        </is>
      </c>
      <c r="D312" s="19" t="inlineStr">
        <is>
          <t>Very High</t>
        </is>
      </c>
      <c r="E312" s="19" t="inlineStr">
        <is>
          <t>Very High</t>
        </is>
      </c>
      <c r="F312" s="20" t="n">
        <v>46023</v>
      </c>
      <c r="G312" s="19" t="n">
        <v>38.0043</v>
      </c>
      <c r="H312" s="19" t="n">
        <v>42.6244</v>
      </c>
      <c r="I312" s="19" t="n">
        <v>13.355494</v>
      </c>
      <c r="J312" s="19" t="n"/>
      <c r="K312" s="19" t="n"/>
      <c r="L312" s="19" t="n">
        <v>22.95145</v>
      </c>
      <c r="M312" s="19" t="n"/>
      <c r="N312" s="19" t="n"/>
      <c r="O312" s="19" t="n">
        <v>13.545691</v>
      </c>
      <c r="P312" s="19" t="n"/>
      <c r="Q312" s="19" t="n"/>
      <c r="R312" s="19" t="n">
        <v>15.867564</v>
      </c>
      <c r="S312" s="19" t="n"/>
      <c r="T312" s="19" t="n"/>
      <c r="U312" s="19" t="n">
        <v>14.879499</v>
      </c>
      <c r="V312" s="19" t="inlineStr">
        <is>
          <t>731.28^</t>
        </is>
      </c>
      <c r="W312" s="19" t="n">
        <v>-1.630166756779558</v>
      </c>
      <c r="X312" s="19" t="n">
        <v>-1.831222826435152</v>
      </c>
      <c r="Y312" s="19" t="n">
        <v>-0.2310476689803251</v>
      </c>
      <c r="Z312" s="19" t="n">
        <v>-0.3390684836488662</v>
      </c>
      <c r="AA312" s="19" t="n">
        <v>-0.4488567265961441</v>
      </c>
      <c r="AB312" s="19" t="n">
        <v>-0.6314623438530511</v>
      </c>
      <c r="AC312" s="19" t="n">
        <v>-0.4394254717824819</v>
      </c>
      <c r="AD312" s="19" t="n">
        <v>-0.536866054032758</v>
      </c>
      <c r="AE312" s="19" t="n">
        <v>12.087907</v>
      </c>
      <c r="AF312" s="19" t="n">
        <v>14.60089</v>
      </c>
      <c r="AG312" s="19" t="n">
        <v>21.572048</v>
      </c>
      <c r="AH312" s="19" t="n">
        <v>12.217396</v>
      </c>
      <c r="AI312" s="19" t="n"/>
      <c r="AJ312" s="19" t="n"/>
      <c r="AK312" s="19" t="n">
        <v>13.625414</v>
      </c>
      <c r="AL312" s="19" t="inlineStr">
        <is>
          <t>Equity Scheme - Sectoral/ Thematic</t>
        </is>
      </c>
      <c r="AM312" s="19" t="n">
        <v>2.15</v>
      </c>
      <c r="AN312" s="19" t="n">
        <v>0</v>
      </c>
      <c r="AO312" s="19" t="n">
        <v>0.05</v>
      </c>
      <c r="AP312" s="19" t="n">
        <v>0.17</v>
      </c>
      <c r="AQ312" s="19" t="n">
        <v>2.37</v>
      </c>
      <c r="AR312" s="19" t="n">
        <v>1.02</v>
      </c>
      <c r="AS312" s="19" t="n">
        <v>0</v>
      </c>
      <c r="AT312" s="19" t="n">
        <v>0.05</v>
      </c>
      <c r="AU312" s="19" t="n">
        <v>0.17</v>
      </c>
      <c r="AV312" s="19" t="n">
        <v>1.24</v>
      </c>
      <c r="AY312" s="26" t="n">
        <v>1.892207914795692</v>
      </c>
      <c r="AZ312" s="26" t="n">
        <v>1.453221061498769</v>
      </c>
      <c r="BA312" s="26" t="n">
        <v>0.9031045995986531</v>
      </c>
      <c r="BB312" s="28" t="n">
        <v>1</v>
      </c>
      <c r="BC312" t="n">
        <v>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</row>
    <row r="313">
      <c r="A313" s="19" t="inlineStr">
        <is>
          <t>PGIM India Healthcare Fund</t>
        </is>
      </c>
      <c r="B313" s="19" t="inlineStr">
        <is>
          <t>sectorial:thematic</t>
        </is>
      </c>
      <c r="C313" s="19" t="inlineStr">
        <is>
          <t>BSE Healthcare TRI</t>
        </is>
      </c>
      <c r="D313" s="19" t="inlineStr">
        <is>
          <t>Very High</t>
        </is>
      </c>
      <c r="E313" s="19" t="inlineStr">
        <is>
          <t>Very High</t>
        </is>
      </c>
      <c r="F313" s="20" t="n">
        <v>46023</v>
      </c>
      <c r="G313" s="19" t="n">
        <v>9.82</v>
      </c>
      <c r="H313" s="19" t="n">
        <v>10</v>
      </c>
      <c r="I313" s="19" t="n">
        <v>-1.671583</v>
      </c>
      <c r="J313" s="19" t="n">
        <v>1.606212</v>
      </c>
      <c r="K313" s="19" t="n">
        <v>-3.277795</v>
      </c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>
        <v>94.65000000000001</v>
      </c>
      <c r="W313" s="19" t="n">
        <v>0.2801186497853926</v>
      </c>
      <c r="X313" s="19" t="n">
        <v>-0.0548652686173853</v>
      </c>
      <c r="Y313" s="19" t="n"/>
      <c r="Z313" s="19" t="n"/>
      <c r="AA313" s="19" t="n"/>
      <c r="AB313" s="19" t="n"/>
      <c r="AC313" s="19" t="n"/>
      <c r="AD313" s="19" t="n"/>
      <c r="AE313" s="19" t="n">
        <v>-3.2512314</v>
      </c>
      <c r="AF313" s="19" t="n"/>
      <c r="AG313" s="19" t="n"/>
      <c r="AH313" s="19" t="n"/>
      <c r="AI313" s="19" t="n">
        <v>-1.1205683</v>
      </c>
      <c r="AJ313" s="19" t="n">
        <v>-1.1205683</v>
      </c>
      <c r="AK313" s="19" t="n">
        <v>-1.681319</v>
      </c>
      <c r="AL313" s="19" t="inlineStr">
        <is>
          <t>Equity Scheme - Sectoral/ Thematic</t>
        </is>
      </c>
      <c r="AM313" s="19" t="n">
        <v>2.25</v>
      </c>
      <c r="AN313" s="19" t="n">
        <v>0</v>
      </c>
      <c r="AO313" s="19" t="n">
        <v>0.05</v>
      </c>
      <c r="AP313" s="19" t="n">
        <v>0.07000000000000001</v>
      </c>
      <c r="AQ313" s="19" t="n">
        <v>2.37</v>
      </c>
      <c r="AR313" s="19" t="n">
        <v>0.53</v>
      </c>
      <c r="AS313" s="19" t="n">
        <v>0</v>
      </c>
      <c r="AT313" s="19" t="n">
        <v>0.05</v>
      </c>
      <c r="AU313" s="19" t="n">
        <v>0.07000000000000001</v>
      </c>
      <c r="AV313" s="19" t="n">
        <v>0.65</v>
      </c>
      <c r="AW313" s="17" t="n">
        <v>4.775488642366609</v>
      </c>
      <c r="AX313" s="18" t="inlineStr">
        <is>
          <t>-5cr</t>
        </is>
      </c>
      <c r="AY313" s="26" t="n">
        <v>1.509838813320696</v>
      </c>
      <c r="AZ313" s="26" t="n">
        <v>1.453221061498769</v>
      </c>
      <c r="BA313" s="26" t="n">
        <v>0.5822181006563995</v>
      </c>
      <c r="BB313" s="28" t="n">
        <v>3</v>
      </c>
      <c r="BC313" t="n">
        <v>0</v>
      </c>
      <c r="BD313" t="n">
        <v>1</v>
      </c>
      <c r="BE313" t="n">
        <v>1</v>
      </c>
      <c r="BF313" t="n">
        <v>1</v>
      </c>
      <c r="BG313" t="n">
        <v>0</v>
      </c>
      <c r="BH313" t="n">
        <v>0</v>
      </c>
    </row>
    <row r="314">
      <c r="A314" s="19" t="inlineStr">
        <is>
          <t>Quant BFSI Fund</t>
        </is>
      </c>
      <c r="B314" s="19" t="inlineStr">
        <is>
          <t>sectorial:thematic</t>
        </is>
      </c>
      <c r="C314" s="19" t="inlineStr">
        <is>
          <t>Nifty Financial Services TRI</t>
        </is>
      </c>
      <c r="D314" s="19" t="inlineStr">
        <is>
          <t>Very High</t>
        </is>
      </c>
      <c r="E314" s="19" t="inlineStr">
        <is>
          <t>Very High</t>
        </is>
      </c>
      <c r="F314" s="20" t="n">
        <v>46023</v>
      </c>
      <c r="G314" s="19" t="n">
        <v>19.3531</v>
      </c>
      <c r="H314" s="19" t="n">
        <v>20.1625</v>
      </c>
      <c r="I314" s="19" t="n">
        <v>25.576109</v>
      </c>
      <c r="J314" s="19" t="n">
        <v>7.285888999999997</v>
      </c>
      <c r="K314" s="19" t="n">
        <v>18.29022</v>
      </c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>
        <v>31.799055</v>
      </c>
      <c r="V314" s="19" t="n">
        <v>769.63</v>
      </c>
      <c r="W314" s="19" t="n">
        <v>0.5348069989458393</v>
      </c>
      <c r="X314" s="19" t="n">
        <v>0.40842284416288</v>
      </c>
      <c r="Y314" s="19" t="n"/>
      <c r="Z314" s="19" t="n"/>
      <c r="AA314" s="19" t="n"/>
      <c r="AB314" s="19" t="n"/>
      <c r="AC314" s="19" t="n"/>
      <c r="AD314" s="19" t="n"/>
      <c r="AE314" s="19" t="n">
        <v>23.606693</v>
      </c>
      <c r="AF314" s="19" t="n"/>
      <c r="AG314" s="19" t="n"/>
      <c r="AH314" s="19" t="n"/>
      <c r="AI314" s="19" t="n">
        <v>15.96796</v>
      </c>
      <c r="AJ314" s="19" t="n">
        <v>15.96796</v>
      </c>
      <c r="AK314" s="19" t="n">
        <v>29.68988</v>
      </c>
      <c r="AL314" s="19" t="inlineStr">
        <is>
          <t>Equity Scheme - Sectoral/ Thematic</t>
        </is>
      </c>
      <c r="AM314" s="19" t="n">
        <v>2.16</v>
      </c>
      <c r="AN314" s="19" t="n">
        <v>0</v>
      </c>
      <c r="AO314" s="19" t="n">
        <v>0.05</v>
      </c>
      <c r="AP314" s="19" t="n">
        <v>0.11</v>
      </c>
      <c r="AQ314" s="19" t="n">
        <v>2.32</v>
      </c>
      <c r="AR314" s="19" t="n">
        <v>0.61</v>
      </c>
      <c r="AS314" s="19" t="n">
        <v>0</v>
      </c>
      <c r="AT314" s="19" t="n">
        <v>0.05</v>
      </c>
      <c r="AU314" s="19" t="n">
        <v>0.11</v>
      </c>
      <c r="AV314" s="19" t="n">
        <v>0.77</v>
      </c>
      <c r="AW314" s="17" t="n">
        <v>-5.167418110000907</v>
      </c>
      <c r="AX314" t="inlineStr">
        <is>
          <t>40cr</t>
        </is>
      </c>
      <c r="AY314" s="26" t="n">
        <v>2.172101437197025</v>
      </c>
      <c r="AZ314" s="26" t="n">
        <v>1.453221061498769</v>
      </c>
      <c r="BA314" s="26" t="n">
        <v>0.6156173262721396</v>
      </c>
      <c r="BB314" s="28" t="n">
        <v>3</v>
      </c>
      <c r="BC314" t="n">
        <v>1</v>
      </c>
      <c r="BD314" t="n">
        <v>0</v>
      </c>
      <c r="BE314" t="n">
        <v>1</v>
      </c>
      <c r="BF314" t="n">
        <v>1</v>
      </c>
      <c r="BG314" t="n">
        <v>0</v>
      </c>
      <c r="BH314" t="n">
        <v>0</v>
      </c>
    </row>
    <row r="315">
      <c r="A315" s="19" t="inlineStr">
        <is>
          <t>Quant Commodities Fund</t>
        </is>
      </c>
      <c r="B315" s="19" t="inlineStr">
        <is>
          <t>sectorial:thematic</t>
        </is>
      </c>
      <c r="C315" s="19" t="inlineStr">
        <is>
          <t>Nifty Commodities TRI</t>
        </is>
      </c>
      <c r="D315" s="19" t="inlineStr">
        <is>
          <t>Very High</t>
        </is>
      </c>
      <c r="E315" s="19" t="inlineStr">
        <is>
          <t>Very High</t>
        </is>
      </c>
      <c r="F315" s="20" t="n">
        <v>46023</v>
      </c>
      <c r="G315" s="19" t="n">
        <v>13.5215</v>
      </c>
      <c r="H315" s="19" t="n">
        <v>13.9414</v>
      </c>
      <c r="I315" s="19" t="n">
        <v>-1.1395466</v>
      </c>
      <c r="J315" s="19" t="n">
        <v>-20.4373596</v>
      </c>
      <c r="K315" s="19" t="n">
        <v>19.297813</v>
      </c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>
        <v>17.913897</v>
      </c>
      <c r="V315" s="19" t="n">
        <v>331.11</v>
      </c>
      <c r="W315" s="19" t="n">
        <v>-1.822601892653955</v>
      </c>
      <c r="X315" s="19" t="n">
        <v>-1.968148914997696</v>
      </c>
      <c r="Y315" s="19" t="n"/>
      <c r="Z315" s="19" t="n"/>
      <c r="AA315" s="19" t="n"/>
      <c r="AB315" s="19" t="n"/>
      <c r="AC315" s="19" t="n"/>
      <c r="AD315" s="19" t="n"/>
      <c r="AE315" s="19" t="n">
        <v>-2.5638993</v>
      </c>
      <c r="AF315" s="19" t="n"/>
      <c r="AG315" s="19" t="n"/>
      <c r="AH315" s="19" t="n"/>
      <c r="AI315" s="19" t="n">
        <v>12.945552</v>
      </c>
      <c r="AJ315" s="19" t="n">
        <v>12.945552</v>
      </c>
      <c r="AK315" s="19" t="n">
        <v>16.139076</v>
      </c>
      <c r="AL315" s="19" t="inlineStr">
        <is>
          <t>Equity Scheme - Sectoral/ Thematic</t>
        </is>
      </c>
      <c r="AM315" s="19" t="n">
        <v>2.25</v>
      </c>
      <c r="AN315" s="19" t="n">
        <v>0</v>
      </c>
      <c r="AO315" s="19" t="n">
        <v>0.05</v>
      </c>
      <c r="AP315" s="19" t="n">
        <v>0.15</v>
      </c>
      <c r="AQ315" s="19" t="n">
        <v>2.45</v>
      </c>
      <c r="AR315" s="19" t="n">
        <v>0.8100000000000001</v>
      </c>
      <c r="AS315" s="19" t="n">
        <v>0</v>
      </c>
      <c r="AT315" s="19" t="n">
        <v>0.05</v>
      </c>
      <c r="AU315" s="19" t="n">
        <v>0.15</v>
      </c>
      <c r="AV315" s="19" t="n">
        <v>1.01</v>
      </c>
      <c r="AW315" s="17" t="n">
        <v>-0.1147654857902194</v>
      </c>
      <c r="AX315" t="inlineStr">
        <is>
          <t>0cr</t>
        </is>
      </c>
      <c r="AY315" s="26" t="n">
        <v>1.617437873072655</v>
      </c>
      <c r="AZ315" s="26" t="n">
        <v>1.453221061498769</v>
      </c>
      <c r="BA315" s="26" t="n">
        <v>0.8051663778928847</v>
      </c>
      <c r="BB315" s="28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</row>
    <row r="316">
      <c r="A316" s="19" t="inlineStr">
        <is>
          <t>Quant Consumption Fund</t>
        </is>
      </c>
      <c r="B316" s="19" t="inlineStr">
        <is>
          <t>sectorial:thematic</t>
        </is>
      </c>
      <c r="C316" s="19" t="inlineStr">
        <is>
          <t>Nifty India Consumption TRI</t>
        </is>
      </c>
      <c r="D316" s="19" t="inlineStr">
        <is>
          <t>Very High</t>
        </is>
      </c>
      <c r="E316" s="19" t="inlineStr">
        <is>
          <t>Very High</t>
        </is>
      </c>
      <c r="F316" s="20" t="n">
        <v>46023</v>
      </c>
      <c r="G316" s="19" t="n">
        <v>9.620699999999999</v>
      </c>
      <c r="H316" s="19" t="n">
        <v>9.914400000000001</v>
      </c>
      <c r="I316" s="19" t="n">
        <v>-7.3507147</v>
      </c>
      <c r="J316" s="19" t="n">
        <v>-15.4604277</v>
      </c>
      <c r="K316" s="19" t="n">
        <v>8.109712999999999</v>
      </c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>
        <v>-0.44221836</v>
      </c>
      <c r="V316" s="19" t="n">
        <v>210</v>
      </c>
      <c r="W316" s="19" t="n">
        <v>-1.833415653374421</v>
      </c>
      <c r="X316" s="19" t="n">
        <v>-2.008535524584448</v>
      </c>
      <c r="Y316" s="19" t="n"/>
      <c r="Z316" s="19" t="n"/>
      <c r="AA316" s="19" t="n"/>
      <c r="AB316" s="19" t="n"/>
      <c r="AC316" s="19" t="n"/>
      <c r="AD316" s="19" t="n"/>
      <c r="AE316" s="19" t="n">
        <v>-8.711618</v>
      </c>
      <c r="AF316" s="19" t="n"/>
      <c r="AG316" s="19" t="n"/>
      <c r="AH316" s="19" t="n"/>
      <c r="AI316" s="19" t="n">
        <v>14.528758</v>
      </c>
      <c r="AJ316" s="19" t="n">
        <v>14.528758</v>
      </c>
      <c r="AK316" s="19" t="n">
        <v>-1.9737424</v>
      </c>
      <c r="AL316" s="19" t="inlineStr">
        <is>
          <t>Equity Scheme - Sectoral/ Thematic</t>
        </is>
      </c>
      <c r="AM316" s="19" t="n">
        <v>2.25</v>
      </c>
      <c r="AN316" s="19" t="n">
        <v>0</v>
      </c>
      <c r="AO316" s="19" t="n">
        <v>0.05</v>
      </c>
      <c r="AP316" s="19" t="n">
        <v>0.13</v>
      </c>
      <c r="AQ316" s="19" t="n">
        <v>2.43</v>
      </c>
      <c r="AR316" s="19" t="n">
        <v>0.71</v>
      </c>
      <c r="AS316" s="19" t="n">
        <v>0</v>
      </c>
      <c r="AT316" s="19" t="n">
        <v>0.05</v>
      </c>
      <c r="AU316" s="19" t="n">
        <v>0.13</v>
      </c>
      <c r="AV316" s="19" t="n">
        <v>0.89</v>
      </c>
      <c r="AW316" s="17" t="n">
        <v>3.80952380952381</v>
      </c>
      <c r="AX316" s="18" t="inlineStr">
        <is>
          <t>-8cr</t>
        </is>
      </c>
      <c r="AY316" s="26" t="n">
        <v>1.751444010060521</v>
      </c>
      <c r="AZ316" s="26" t="n">
        <v>1.453221061498769</v>
      </c>
      <c r="BA316" s="26" t="n">
        <v>0.5926226032451782</v>
      </c>
      <c r="BB316" s="28" t="n">
        <v>1</v>
      </c>
      <c r="BC316" t="n">
        <v>0</v>
      </c>
      <c r="BD316" t="n">
        <v>1</v>
      </c>
      <c r="BE316" t="n">
        <v>0</v>
      </c>
      <c r="BF316" t="n">
        <v>0</v>
      </c>
      <c r="BG316" t="n">
        <v>0</v>
      </c>
      <c r="BH316" t="n">
        <v>0</v>
      </c>
    </row>
    <row r="317">
      <c r="A317" s="19" t="inlineStr">
        <is>
          <t>Quant ESG Integration Strategy Fund</t>
        </is>
      </c>
      <c r="B317" s="19" t="inlineStr">
        <is>
          <t>sectorial:thematic</t>
        </is>
      </c>
      <c r="C317" s="19" t="inlineStr">
        <is>
          <t>Nifty 100 ESG TRI</t>
        </is>
      </c>
      <c r="D317" s="19" t="inlineStr">
        <is>
          <t>Very High</t>
        </is>
      </c>
      <c r="E317" s="19" t="inlineStr">
        <is>
          <t>Very High</t>
        </is>
      </c>
      <c r="F317" s="20" t="n">
        <v>46023</v>
      </c>
      <c r="G317" s="19" t="n">
        <v>33.8288</v>
      </c>
      <c r="H317" s="19" t="n">
        <v>36.636</v>
      </c>
      <c r="I317" s="19" t="n">
        <v>4.296138</v>
      </c>
      <c r="J317" s="19" t="n">
        <v>-7.49055</v>
      </c>
      <c r="K317" s="19" t="n">
        <v>11.786688</v>
      </c>
      <c r="L317" s="19" t="n">
        <v>16.719826</v>
      </c>
      <c r="M317" s="19" t="n">
        <v>0.7274550000000009</v>
      </c>
      <c r="N317" s="19" t="n">
        <v>15.992371</v>
      </c>
      <c r="O317" s="19" t="n">
        <v>25.348291</v>
      </c>
      <c r="P317" s="19" t="n">
        <v>10.529651</v>
      </c>
      <c r="Q317" s="19" t="n">
        <v>14.81864</v>
      </c>
      <c r="R317" s="19" t="n"/>
      <c r="S317" s="19" t="n"/>
      <c r="T317" s="19" t="n"/>
      <c r="U317" s="19" t="n">
        <v>28.619768</v>
      </c>
      <c r="V317" s="19" t="n">
        <v>268.64</v>
      </c>
      <c r="W317" s="19" t="n">
        <v>-0.8578390303393115</v>
      </c>
      <c r="X317" s="19" t="n">
        <v>-1.056437631530478</v>
      </c>
      <c r="Y317" s="19" t="n"/>
      <c r="Z317" s="19" t="n"/>
      <c r="AA317" s="19" t="n">
        <v>0.1188916471722187</v>
      </c>
      <c r="AB317" s="19" t="n">
        <v>-0.08501090428264325</v>
      </c>
      <c r="AC317" s="19" t="n">
        <v>0.9902058842964022</v>
      </c>
      <c r="AD317" s="19" t="n">
        <v>0.8233290811025079</v>
      </c>
      <c r="AE317" s="19" t="n">
        <v>2.7294261</v>
      </c>
      <c r="AF317" s="19" t="n"/>
      <c r="AG317" s="19" t="n">
        <v>14.867212</v>
      </c>
      <c r="AH317" s="19" t="n">
        <v>23.412178</v>
      </c>
      <c r="AI317" s="19" t="n">
        <v>17.565092</v>
      </c>
      <c r="AJ317" s="19" t="n">
        <v>17.565092</v>
      </c>
      <c r="AK317" s="19" t="n">
        <v>26.647526</v>
      </c>
      <c r="AL317" s="19" t="inlineStr">
        <is>
          <t>Equity Scheme - Sectoral/ Thematic</t>
        </is>
      </c>
      <c r="AM317" s="19" t="n">
        <v>2.25</v>
      </c>
      <c r="AN317" s="19" t="n">
        <v>0</v>
      </c>
      <c r="AO317" s="19" t="n">
        <v>0.05</v>
      </c>
      <c r="AP317" s="19" t="n">
        <v>0.14</v>
      </c>
      <c r="AQ317" s="19" t="n">
        <v>2.44</v>
      </c>
      <c r="AR317" s="19" t="n">
        <v>0.74</v>
      </c>
      <c r="AS317" s="19" t="n">
        <v>0</v>
      </c>
      <c r="AT317" s="19" t="n">
        <v>0.05</v>
      </c>
      <c r="AU317" s="19" t="n">
        <v>0.14</v>
      </c>
      <c r="AV317" s="19" t="n">
        <v>0.93</v>
      </c>
      <c r="AW317" s="17" t="n">
        <v>1.656491959499698</v>
      </c>
      <c r="AX317" s="18" t="inlineStr">
        <is>
          <t>-4cr</t>
        </is>
      </c>
      <c r="AY317" s="26" t="n">
        <v>1.612652466928291</v>
      </c>
      <c r="AZ317" s="26" t="n">
        <v>1.453221061498769</v>
      </c>
      <c r="BA317" s="26" t="n">
        <v>0.7304138799658081</v>
      </c>
      <c r="BB317" s="28" t="n">
        <v>2</v>
      </c>
      <c r="BC317" t="n">
        <v>1</v>
      </c>
      <c r="BD317" t="n">
        <v>1</v>
      </c>
      <c r="BE317" t="n">
        <v>0</v>
      </c>
      <c r="BF317" t="n">
        <v>0</v>
      </c>
      <c r="BG317" t="n">
        <v>0</v>
      </c>
      <c r="BH317" t="n">
        <v>0</v>
      </c>
    </row>
    <row r="318">
      <c r="A318" s="19" t="inlineStr">
        <is>
          <t>Quant Healthcare Fund</t>
        </is>
      </c>
      <c r="B318" s="19" t="inlineStr">
        <is>
          <t>sectorial:thematic</t>
        </is>
      </c>
      <c r="C318" s="19" t="inlineStr">
        <is>
          <t>NIFTY Healthcare TRI</t>
        </is>
      </c>
      <c r="D318" s="19" t="inlineStr">
        <is>
          <t>Very High</t>
        </is>
      </c>
      <c r="E318" s="19" t="inlineStr">
        <is>
          <t>Very High</t>
        </is>
      </c>
      <c r="F318" s="20" t="n">
        <v>46023</v>
      </c>
      <c r="G318" s="19" t="n">
        <v>14.9608</v>
      </c>
      <c r="H318" s="19" t="n">
        <v>15.576</v>
      </c>
      <c r="I318" s="19" t="n">
        <v>-4.868351</v>
      </c>
      <c r="J318" s="19" t="n">
        <v>-2.8690715</v>
      </c>
      <c r="K318" s="19" t="n">
        <v>-1.9992795</v>
      </c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>
        <v>19.01867</v>
      </c>
      <c r="V318" s="19" t="n">
        <v>361.8</v>
      </c>
      <c r="W318" s="19" t="n">
        <v>-0.2566797529263388</v>
      </c>
      <c r="X318" s="19" t="n">
        <v>-0.4161413910893728</v>
      </c>
      <c r="Y318" s="19" t="n"/>
      <c r="Z318" s="19" t="n"/>
      <c r="AA318" s="19" t="n"/>
      <c r="AB318" s="19" t="n"/>
      <c r="AC318" s="19" t="n"/>
      <c r="AD318" s="19" t="n"/>
      <c r="AE318" s="19" t="n">
        <v>-6.4037437</v>
      </c>
      <c r="AF318" s="19" t="n"/>
      <c r="AG318" s="19" t="n"/>
      <c r="AH318" s="19" t="n"/>
      <c r="AI318" s="19" t="n">
        <v>23.663162</v>
      </c>
      <c r="AJ318" s="19" t="n">
        <v>23.663162</v>
      </c>
      <c r="AK318" s="19" t="n">
        <v>17.149105</v>
      </c>
      <c r="AL318" s="19" t="inlineStr">
        <is>
          <t>Equity Scheme - Sectoral/ Thematic</t>
        </is>
      </c>
      <c r="AM318" s="19" t="n">
        <v>2.25</v>
      </c>
      <c r="AN318" s="19" t="n">
        <v>0</v>
      </c>
      <c r="AO318" s="19" t="n">
        <v>0.05</v>
      </c>
      <c r="AP318" s="19" t="n">
        <v>0.12</v>
      </c>
      <c r="AQ318" s="19" t="n">
        <v>2.42</v>
      </c>
      <c r="AR318" s="19" t="n">
        <v>0.66</v>
      </c>
      <c r="AS318" s="19" t="n">
        <v>0</v>
      </c>
      <c r="AT318" s="19" t="n">
        <v>0.05</v>
      </c>
      <c r="AU318" s="19" t="n">
        <v>0.12</v>
      </c>
      <c r="AV318" s="19" t="n">
        <v>0.83</v>
      </c>
      <c r="AW318" s="17" t="n">
        <v>4.579878385848533</v>
      </c>
      <c r="AX318" s="18" t="inlineStr">
        <is>
          <t>-17cr</t>
        </is>
      </c>
      <c r="AY318" s="26" t="n">
        <v>1.466801449750406</v>
      </c>
      <c r="AZ318" s="26" t="n">
        <v>1.453221061498769</v>
      </c>
      <c r="BA318" s="26" t="n">
        <v>0.7530017912174114</v>
      </c>
      <c r="BB318" s="28" t="n">
        <v>2</v>
      </c>
      <c r="BC318" t="n">
        <v>0</v>
      </c>
      <c r="BD318" t="n">
        <v>1</v>
      </c>
      <c r="BE318" t="n">
        <v>1</v>
      </c>
      <c r="BF318" t="n">
        <v>0</v>
      </c>
      <c r="BG318" t="n">
        <v>0</v>
      </c>
      <c r="BH318" t="n">
        <v>0</v>
      </c>
    </row>
    <row r="319">
      <c r="A319" s="19" t="inlineStr">
        <is>
          <t>Quant Manufacturing Fund</t>
        </is>
      </c>
      <c r="B319" s="19" t="inlineStr">
        <is>
          <t>sectorial:thematic</t>
        </is>
      </c>
      <c r="C319" s="19" t="inlineStr">
        <is>
          <t>Nifty India Manufacturing TRI</t>
        </is>
      </c>
      <c r="D319" s="19" t="inlineStr">
        <is>
          <t>Very High</t>
        </is>
      </c>
      <c r="E319" s="19" t="inlineStr">
        <is>
          <t>Very High</t>
        </is>
      </c>
      <c r="F319" s="20" t="n">
        <v>46023</v>
      </c>
      <c r="G319" s="19" t="n">
        <v>14.5821</v>
      </c>
      <c r="H319" s="19" t="n">
        <v>15.132</v>
      </c>
      <c r="I319" s="19" t="n">
        <v>-4.504061</v>
      </c>
      <c r="J319" s="19" t="n">
        <v>-16.555033</v>
      </c>
      <c r="K319" s="19" t="n">
        <v>12.050972</v>
      </c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>
        <v>18.956203</v>
      </c>
      <c r="V319" s="19" t="n">
        <v>696.5599999999999</v>
      </c>
      <c r="W319" s="19" t="n">
        <v>-2.156914041406198</v>
      </c>
      <c r="X319" s="19" t="n">
        <v>-2.357630529212095</v>
      </c>
      <c r="Y319" s="19" t="n"/>
      <c r="Z319" s="19" t="n"/>
      <c r="AA319" s="19" t="n"/>
      <c r="AB319" s="19" t="n"/>
      <c r="AC319" s="19" t="n"/>
      <c r="AD319" s="19" t="n"/>
      <c r="AE319" s="19" t="n">
        <v>-5.8988657</v>
      </c>
      <c r="AF319" s="19" t="n"/>
      <c r="AG319" s="19" t="n"/>
      <c r="AH319" s="19" t="n"/>
      <c r="AI319" s="19" t="n">
        <v>22.930819</v>
      </c>
      <c r="AJ319" s="19" t="n">
        <v>22.930819</v>
      </c>
      <c r="AK319" s="19" t="n">
        <v>17.125162</v>
      </c>
      <c r="AL319" s="19" t="inlineStr">
        <is>
          <t>Equity Scheme - Sectoral/ Thematic</t>
        </is>
      </c>
      <c r="AM319" s="19" t="n">
        <v>2.2</v>
      </c>
      <c r="AN319" s="19" t="n">
        <v>0</v>
      </c>
      <c r="AO319" s="19" t="n">
        <v>0.05</v>
      </c>
      <c r="AP319" s="19" t="n">
        <v>0.16</v>
      </c>
      <c r="AQ319" s="19" t="n">
        <v>2.41</v>
      </c>
      <c r="AR319" s="19" t="n">
        <v>0.83</v>
      </c>
      <c r="AS319" s="19" t="n">
        <v>0</v>
      </c>
      <c r="AT319" s="19" t="n">
        <v>0.05</v>
      </c>
      <c r="AU319" s="19" t="n">
        <v>0.16</v>
      </c>
      <c r="AV319" s="19" t="n">
        <v>1.04</v>
      </c>
      <c r="AW319" s="17" t="n">
        <v>4.681578040656945</v>
      </c>
      <c r="AX319" s="18" t="inlineStr">
        <is>
          <t>-33cr</t>
        </is>
      </c>
      <c r="AY319" s="26" t="n">
        <v>1.841120570162263</v>
      </c>
      <c r="AZ319" s="26" t="n">
        <v>1.453221061498769</v>
      </c>
      <c r="BA319" s="26" t="n">
        <v>0.7984993141664234</v>
      </c>
      <c r="BB319" s="28" t="n">
        <v>1</v>
      </c>
      <c r="BC319" t="n">
        <v>0</v>
      </c>
      <c r="BD319" t="n">
        <v>1</v>
      </c>
      <c r="BE319" t="n">
        <v>0</v>
      </c>
      <c r="BF319" t="n">
        <v>0</v>
      </c>
      <c r="BG319" t="n">
        <v>0</v>
      </c>
      <c r="BH319" t="n">
        <v>0</v>
      </c>
    </row>
    <row r="320">
      <c r="A320" s="19" t="inlineStr">
        <is>
          <t>Quant Momentum Fund</t>
        </is>
      </c>
      <c r="B320" s="19" t="inlineStr">
        <is>
          <t>sectorial:thematic</t>
        </is>
      </c>
      <c r="C320" s="19" t="inlineStr">
        <is>
          <t>Nifty 500 TRI</t>
        </is>
      </c>
      <c r="D320" s="19" t="inlineStr">
        <is>
          <t>Very High</t>
        </is>
      </c>
      <c r="E320" s="19" t="inlineStr">
        <is>
          <t>Very High</t>
        </is>
      </c>
      <c r="F320" s="20" t="n">
        <v>46023</v>
      </c>
      <c r="G320" s="19" t="n">
        <v>14.4941</v>
      </c>
      <c r="H320" s="19" t="n">
        <v>14.8996</v>
      </c>
      <c r="I320" s="19" t="n">
        <v>3.90382</v>
      </c>
      <c r="J320" s="19" t="n">
        <v>-3.5152083</v>
      </c>
      <c r="K320" s="19" t="n">
        <v>7.4190283</v>
      </c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>
        <v>20.717623</v>
      </c>
      <c r="V320" s="19" t="n">
        <v>1415.28</v>
      </c>
      <c r="W320" s="19" t="n">
        <v>-0.5285915769006327</v>
      </c>
      <c r="X320" s="19" t="n">
        <v>-0.7359247181014219</v>
      </c>
      <c r="Y320" s="19" t="n"/>
      <c r="Z320" s="19" t="n"/>
      <c r="AA320" s="19" t="n"/>
      <c r="AB320" s="19" t="n"/>
      <c r="AC320" s="19" t="n"/>
      <c r="AD320" s="19" t="n"/>
      <c r="AE320" s="19" t="n">
        <v>2.6690657</v>
      </c>
      <c r="AF320" s="19" t="n"/>
      <c r="AG320" s="19" t="n"/>
      <c r="AH320" s="19" t="n"/>
      <c r="AI320" s="19" t="n">
        <v>16.711838</v>
      </c>
      <c r="AJ320" s="19" t="n">
        <v>16.711838</v>
      </c>
      <c r="AK320" s="19" t="n">
        <v>19.155008</v>
      </c>
      <c r="AL320" s="19" t="inlineStr">
        <is>
          <t>Equity Scheme - Sectoral/ Thematic</t>
        </is>
      </c>
      <c r="AM320" s="19" t="n">
        <v>1.99</v>
      </c>
      <c r="AN320" s="19" t="n">
        <v>0</v>
      </c>
      <c r="AO320" s="19" t="n">
        <v>0.05</v>
      </c>
      <c r="AP320" s="19" t="n">
        <v>0.15</v>
      </c>
      <c r="AQ320" s="19" t="n">
        <v>2.19</v>
      </c>
      <c r="AR320" s="19" t="n">
        <v>0.83</v>
      </c>
      <c r="AS320" s="19" t="n">
        <v>0</v>
      </c>
      <c r="AT320" s="19" t="n">
        <v>0.05</v>
      </c>
      <c r="AU320" s="19" t="n">
        <v>0.15</v>
      </c>
      <c r="AV320" s="19" t="n">
        <v>1.03</v>
      </c>
      <c r="AW320" s="17" t="n">
        <v>3.117404329885261</v>
      </c>
      <c r="AX320" s="18" t="inlineStr">
        <is>
          <t>-44cr</t>
        </is>
      </c>
      <c r="AY320" s="26" t="n">
        <v>1.657784685591688</v>
      </c>
      <c r="AZ320" s="26" t="n">
        <v>1.453221061498769</v>
      </c>
      <c r="BA320" s="26" t="n">
        <v>0.6683336110682615</v>
      </c>
      <c r="BB320" s="28" t="n">
        <v>1</v>
      </c>
      <c r="BC320" t="n">
        <v>0</v>
      </c>
      <c r="BD320" t="n">
        <v>1</v>
      </c>
      <c r="BE320" t="n">
        <v>0</v>
      </c>
      <c r="BF320" t="n">
        <v>0</v>
      </c>
      <c r="BG320" t="n">
        <v>0</v>
      </c>
      <c r="BH320" t="n">
        <v>0</v>
      </c>
    </row>
    <row r="321">
      <c r="A321" s="19" t="inlineStr">
        <is>
          <t>Quant PSU Fund</t>
        </is>
      </c>
      <c r="B321" s="19" t="inlineStr">
        <is>
          <t>sectorial:thematic</t>
        </is>
      </c>
      <c r="C321" s="19" t="inlineStr">
        <is>
          <t>Nifty PSE TRI</t>
        </is>
      </c>
      <c r="D321" s="19" t="inlineStr">
        <is>
          <t>Very High</t>
        </is>
      </c>
      <c r="E321" s="19" t="inlineStr">
        <is>
          <t>Very High</t>
        </is>
      </c>
      <c r="F321" s="20" t="n">
        <v>46023</v>
      </c>
      <c r="G321" s="19" t="n">
        <v>10.3517</v>
      </c>
      <c r="H321" s="19" t="n">
        <v>10.6302</v>
      </c>
      <c r="I321" s="19" t="n">
        <v>2.5012536</v>
      </c>
      <c r="J321" s="19" t="n">
        <v>-3.4524441</v>
      </c>
      <c r="K321" s="19" t="n">
        <v>5.9536977</v>
      </c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>
        <v>3.3297994</v>
      </c>
      <c r="V321" s="19" t="n">
        <v>534.28</v>
      </c>
      <c r="W321" s="19" t="n">
        <v>-0.4820871863208357</v>
      </c>
      <c r="X321" s="19" t="n">
        <v>-0.6672634039660967</v>
      </c>
      <c r="Y321" s="19" t="n"/>
      <c r="Z321" s="19" t="n"/>
      <c r="AA321" s="19" t="n"/>
      <c r="AB321" s="19" t="n"/>
      <c r="AC321" s="19" t="n"/>
      <c r="AD321" s="19" t="n"/>
      <c r="AE321" s="19" t="n">
        <v>1.1006935</v>
      </c>
      <c r="AF321" s="19" t="n"/>
      <c r="AG321" s="19" t="n"/>
      <c r="AH321" s="19" t="n"/>
      <c r="AI321" s="19" t="n">
        <v>4.3804455</v>
      </c>
      <c r="AJ321" s="19" t="n">
        <v>4.3804455</v>
      </c>
      <c r="AK321" s="19" t="n">
        <v>1.8699062</v>
      </c>
      <c r="AL321" s="19" t="inlineStr">
        <is>
          <t>Equity Scheme - Sectoral/ Thematic</t>
        </is>
      </c>
      <c r="AM321" s="19" t="n">
        <v>2.25</v>
      </c>
      <c r="AN321" s="19" t="n">
        <v>0</v>
      </c>
      <c r="AO321" s="19" t="n">
        <v>0.05</v>
      </c>
      <c r="AP321" s="19" t="n">
        <v>0.17</v>
      </c>
      <c r="AQ321" s="19" t="n">
        <v>2.47</v>
      </c>
      <c r="AR321" s="19" t="n">
        <v>0.91</v>
      </c>
      <c r="AS321" s="19" t="n">
        <v>0</v>
      </c>
      <c r="AT321" s="19" t="n">
        <v>0.05</v>
      </c>
      <c r="AU321" s="19" t="n">
        <v>0.17</v>
      </c>
      <c r="AV321" s="19" t="n">
        <v>1.13</v>
      </c>
      <c r="AW321" s="17" t="n">
        <v>6.103541214344541</v>
      </c>
      <c r="AX321" s="18" t="inlineStr">
        <is>
          <t>-33cr</t>
        </is>
      </c>
      <c r="AY321" s="26" t="n">
        <v>2.161842420977735</v>
      </c>
      <c r="AZ321" s="26" t="n">
        <v>1.453221061498769</v>
      </c>
      <c r="BA321" s="26" t="n">
        <v>0.9554203936396646</v>
      </c>
      <c r="BB321" s="28" t="n">
        <v>1</v>
      </c>
      <c r="BC321" t="n">
        <v>0</v>
      </c>
      <c r="BD321" t="n">
        <v>1</v>
      </c>
      <c r="BE321" t="n">
        <v>0</v>
      </c>
      <c r="BF321" t="n">
        <v>0</v>
      </c>
      <c r="BG321" t="n">
        <v>0</v>
      </c>
      <c r="BH321" t="n">
        <v>0</v>
      </c>
    </row>
    <row r="322">
      <c r="A322" s="19" t="inlineStr">
        <is>
          <t>Quant Teck Fund</t>
        </is>
      </c>
      <c r="B322" s="19" t="inlineStr">
        <is>
          <t>sectorial:thematic</t>
        </is>
      </c>
      <c r="C322" s="19" t="inlineStr">
        <is>
          <t>Nifty IT TRI</t>
        </is>
      </c>
      <c r="D322" s="19" t="inlineStr">
        <is>
          <t>Very High</t>
        </is>
      </c>
      <c r="E322" s="19" t="inlineStr">
        <is>
          <t>Very High</t>
        </is>
      </c>
      <c r="F322" s="20" t="n">
        <v>46023</v>
      </c>
      <c r="G322" s="19" t="n">
        <v>11.2693</v>
      </c>
      <c r="H322" s="19" t="n">
        <v>11.6922</v>
      </c>
      <c r="I322" s="19" t="n">
        <v>-15.505355</v>
      </c>
      <c r="J322" s="19" t="n">
        <v>-5.671719</v>
      </c>
      <c r="K322" s="19" t="n">
        <v>-9.833636</v>
      </c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>
        <v>7.003391</v>
      </c>
      <c r="V322" s="19" t="n">
        <v>295.95</v>
      </c>
      <c r="W322" s="19" t="n">
        <v>-0.349504208448537</v>
      </c>
      <c r="X322" s="19" t="n">
        <v>-0.42998741875117</v>
      </c>
      <c r="Y322" s="19" t="n"/>
      <c r="Z322" s="19" t="n"/>
      <c r="AA322" s="19" t="n"/>
      <c r="AB322" s="19" t="n"/>
      <c r="AC322" s="19" t="n"/>
      <c r="AD322" s="19" t="n"/>
      <c r="AE322" s="19" t="n">
        <v>-16.823141</v>
      </c>
      <c r="AF322" s="19" t="n"/>
      <c r="AG322" s="19" t="n"/>
      <c r="AH322" s="19" t="n"/>
      <c r="AI322" s="19" t="n">
        <v>9.362252</v>
      </c>
      <c r="AJ322" s="19" t="n">
        <v>9.362252</v>
      </c>
      <c r="AK322" s="19" t="n">
        <v>5.310144</v>
      </c>
      <c r="AL322" s="19" t="inlineStr">
        <is>
          <t>Equity Scheme - Sectoral/ Thematic</t>
        </is>
      </c>
      <c r="AM322" s="19" t="n">
        <v>2.25</v>
      </c>
      <c r="AN322" s="19" t="n">
        <v>0</v>
      </c>
      <c r="AO322" s="19" t="n">
        <v>0.05</v>
      </c>
      <c r="AP322" s="19" t="n">
        <v>0.13</v>
      </c>
      <c r="AQ322" s="19" t="n">
        <v>2.43</v>
      </c>
      <c r="AR322" s="19" t="n">
        <v>0.71</v>
      </c>
      <c r="AS322" s="19" t="n">
        <v>0</v>
      </c>
      <c r="AT322" s="19" t="n">
        <v>0.05</v>
      </c>
      <c r="AU322" s="19" t="n">
        <v>0.13</v>
      </c>
      <c r="AV322" s="19" t="n">
        <v>0.89</v>
      </c>
      <c r="AW322" s="17" t="n">
        <v>6.950498394999154</v>
      </c>
      <c r="AX322" s="18" t="inlineStr">
        <is>
          <t>-21cr</t>
        </is>
      </c>
      <c r="AY322" s="26" t="n">
        <v>1.344435873933325</v>
      </c>
      <c r="AZ322" s="26" t="n">
        <v>1.453221061498769</v>
      </c>
      <c r="BA322" s="26" t="n">
        <v>0.8496624230149001</v>
      </c>
      <c r="BB322" s="28" t="n">
        <v>2</v>
      </c>
      <c r="BC322" t="n">
        <v>0</v>
      </c>
      <c r="BD322" t="n">
        <v>1</v>
      </c>
      <c r="BE322" t="n">
        <v>0</v>
      </c>
      <c r="BF322" t="n">
        <v>0</v>
      </c>
      <c r="BG322" t="n">
        <v>0</v>
      </c>
      <c r="BH322" t="n">
        <v>1</v>
      </c>
    </row>
    <row r="323">
      <c r="A323" s="19" t="inlineStr">
        <is>
          <t>Quantum Ethical Fund</t>
        </is>
      </c>
      <c r="B323" s="19" t="inlineStr">
        <is>
          <t>sectorial:thematic</t>
        </is>
      </c>
      <c r="C323" s="19" t="inlineStr">
        <is>
          <t>Nifty 500 Shariah TRI</t>
        </is>
      </c>
      <c r="D323" s="19" t="inlineStr">
        <is>
          <t>Very High</t>
        </is>
      </c>
      <c r="E323" s="19" t="inlineStr">
        <is>
          <t>Very High</t>
        </is>
      </c>
      <c r="F323" s="20" t="n">
        <v>46023</v>
      </c>
      <c r="G323" s="19" t="n">
        <v>9.789999999999999</v>
      </c>
      <c r="H323" s="19" t="n">
        <v>9.94</v>
      </c>
      <c r="I323" s="19" t="n">
        <v>-0.89730805</v>
      </c>
      <c r="J323" s="19" t="n">
        <v>1.92560445</v>
      </c>
      <c r="K323" s="19" t="n">
        <v>-2.8229125</v>
      </c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>
        <v>-0.5809574</v>
      </c>
      <c r="V323" s="19" t="n">
        <v>91.81</v>
      </c>
      <c r="W323" s="19" t="n">
        <v>0.3475317508575891</v>
      </c>
      <c r="X323" s="19" t="n">
        <v>0.06516744635224826</v>
      </c>
      <c r="Y323" s="19" t="n"/>
      <c r="Z323" s="19" t="n"/>
      <c r="AA323" s="19" t="n"/>
      <c r="AB323" s="19" t="n"/>
      <c r="AC323" s="19" t="n"/>
      <c r="AD323" s="19" t="n"/>
      <c r="AE323" s="19" t="n">
        <v>-2.2954092</v>
      </c>
      <c r="AF323" s="19" t="n"/>
      <c r="AG323" s="19" t="n"/>
      <c r="AH323" s="19" t="n"/>
      <c r="AI323" s="19" t="n">
        <v>-1.9439893</v>
      </c>
      <c r="AJ323" s="19" t="n">
        <v>-1.9439893</v>
      </c>
      <c r="AK323" s="19" t="n">
        <v>-2.033841</v>
      </c>
      <c r="AL323" s="19" t="inlineStr">
        <is>
          <t>Equity Scheme - Sectoral/ Thematic</t>
        </is>
      </c>
      <c r="AM323" s="19" t="n">
        <v>2.1</v>
      </c>
      <c r="AN323" s="19" t="n">
        <v>0</v>
      </c>
      <c r="AO323" s="19" t="n">
        <v>0</v>
      </c>
      <c r="AP323" s="19" t="n">
        <v>0.08</v>
      </c>
      <c r="AQ323" s="19" t="n">
        <v>2.18</v>
      </c>
      <c r="AR323" s="19" t="n">
        <v>0.67</v>
      </c>
      <c r="AS323" s="19" t="n">
        <v>0</v>
      </c>
      <c r="AT323" s="19" t="n">
        <v>0</v>
      </c>
      <c r="AU323" s="19" t="n">
        <v>0.08</v>
      </c>
      <c r="AV323" s="19" t="n">
        <v>0.75</v>
      </c>
      <c r="AW323" s="17" t="n">
        <v>-4.727153904803402</v>
      </c>
      <c r="AX323" t="inlineStr">
        <is>
          <t>4cr</t>
        </is>
      </c>
      <c r="AY323" s="26" t="n">
        <v>0.7590429155405987</v>
      </c>
      <c r="AZ323" s="26" t="n">
        <v>1.453221061498769</v>
      </c>
      <c r="BA323" s="26" t="n">
        <v>0.5050785696510837</v>
      </c>
      <c r="BB323" s="28" t="n">
        <v>3</v>
      </c>
      <c r="BC323" t="n">
        <v>0</v>
      </c>
      <c r="BD323" t="n">
        <v>0</v>
      </c>
      <c r="BE323" t="n">
        <v>1</v>
      </c>
      <c r="BF323" t="n">
        <v>1</v>
      </c>
      <c r="BG323" t="n">
        <v>0</v>
      </c>
      <c r="BH323" t="n">
        <v>1</v>
      </c>
    </row>
    <row r="324">
      <c r="A324" s="19" t="inlineStr">
        <is>
          <t>SBI Automotive Opportunities Fund</t>
        </is>
      </c>
      <c r="B324" s="19" t="inlineStr">
        <is>
          <t>sectorial:thematic</t>
        </is>
      </c>
      <c r="C324" s="19" t="inlineStr">
        <is>
          <t>Nifty Auto TRI</t>
        </is>
      </c>
      <c r="D324" s="19" t="inlineStr">
        <is>
          <t>Very High</t>
        </is>
      </c>
      <c r="E324" s="19" t="inlineStr">
        <is>
          <t>Very High</t>
        </is>
      </c>
      <c r="F324" s="20" t="n">
        <v>46023</v>
      </c>
      <c r="G324" s="19" t="n">
        <v>11.4108</v>
      </c>
      <c r="H324" s="19" t="n">
        <v>11.6179</v>
      </c>
      <c r="I324" s="19" t="n">
        <v>21.763054</v>
      </c>
      <c r="J324" s="19" t="n">
        <v>-2.454564999999999</v>
      </c>
      <c r="K324" s="19" t="n">
        <v>24.217619</v>
      </c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>
        <v>10.023685</v>
      </c>
      <c r="V324" s="19" t="n">
        <v>5410.93</v>
      </c>
      <c r="W324" s="19" t="n">
        <v>-0.4337078490464778</v>
      </c>
      <c r="X324" s="19" t="n">
        <v>-0.6396508748036751</v>
      </c>
      <c r="Y324" s="19" t="n"/>
      <c r="Z324" s="19" t="n"/>
      <c r="AA324" s="19" t="n"/>
      <c r="AB324" s="19" t="n"/>
      <c r="AC324" s="19" t="n"/>
      <c r="AD324" s="19" t="n"/>
      <c r="AE324" s="19" t="n">
        <v>20.45349</v>
      </c>
      <c r="AF324" s="19" t="n"/>
      <c r="AG324" s="19" t="n"/>
      <c r="AH324" s="19" t="n"/>
      <c r="AI324" s="19" t="n">
        <v>9.727266</v>
      </c>
      <c r="AJ324" s="19" t="n">
        <v>9.727266</v>
      </c>
      <c r="AK324" s="19" t="n">
        <v>8.770281000000001</v>
      </c>
      <c r="AL324" s="19" t="inlineStr">
        <is>
          <t>Equity Scheme - Sectoral/ Thematic</t>
        </is>
      </c>
      <c r="AM324" s="19" t="n">
        <v>1.72</v>
      </c>
      <c r="AN324" s="19" t="n">
        <v>0</v>
      </c>
      <c r="AO324" s="19" t="n">
        <v>0.05</v>
      </c>
      <c r="AP324" s="19" t="n">
        <v>0.12</v>
      </c>
      <c r="AQ324" s="19" t="n">
        <v>1.89</v>
      </c>
      <c r="AR324" s="19" t="n">
        <v>0.67</v>
      </c>
      <c r="AS324" s="19" t="n">
        <v>0</v>
      </c>
      <c r="AT324" s="19" t="n">
        <v>0.05</v>
      </c>
      <c r="AU324" s="19" t="n">
        <v>0.12</v>
      </c>
      <c r="AV324" s="19" t="n">
        <v>0.84</v>
      </c>
      <c r="AW324" s="17" t="n">
        <v>0.325821993631411</v>
      </c>
      <c r="AX324" s="18" t="inlineStr">
        <is>
          <t>-18cr</t>
        </is>
      </c>
      <c r="AY324" s="26" t="n">
        <v>1.649846910275239</v>
      </c>
      <c r="AZ324" s="26" t="n">
        <v>1.453221061498769</v>
      </c>
      <c r="BA324" s="26" t="n">
        <v>0.5886437731480909</v>
      </c>
      <c r="BB324" s="28" t="n">
        <v>3</v>
      </c>
      <c r="BC324" t="n">
        <v>1</v>
      </c>
      <c r="BD324" t="n">
        <v>1</v>
      </c>
      <c r="BE324" t="n">
        <v>1</v>
      </c>
      <c r="BF324" t="n">
        <v>0</v>
      </c>
      <c r="BG324" t="n">
        <v>0</v>
      </c>
      <c r="BH324" t="n">
        <v>0</v>
      </c>
    </row>
    <row r="325">
      <c r="A325" s="19" t="inlineStr">
        <is>
          <t>SBI Energy Opportunities Fund</t>
        </is>
      </c>
      <c r="B325" s="19" t="inlineStr">
        <is>
          <t>sectorial:thematic</t>
        </is>
      </c>
      <c r="C325" s="19" t="inlineStr">
        <is>
          <t>Nifty Energy TRI</t>
        </is>
      </c>
      <c r="D325" s="19" t="inlineStr">
        <is>
          <t>Very High</t>
        </is>
      </c>
      <c r="E325" s="19" t="inlineStr">
        <is>
          <t>Very High</t>
        </is>
      </c>
      <c r="F325" s="20" t="n">
        <v>46023</v>
      </c>
      <c r="G325" s="19" t="n">
        <v>10.8492</v>
      </c>
      <c r="H325" s="19" t="n">
        <v>11.0734</v>
      </c>
      <c r="I325" s="19" t="n">
        <v>5.616863</v>
      </c>
      <c r="J325" s="19" t="n">
        <v>3.9559226</v>
      </c>
      <c r="K325" s="19" t="n">
        <v>1.6609404</v>
      </c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>
        <v>5.668255</v>
      </c>
      <c r="V325" s="19" t="n">
        <v>9166.190000000001</v>
      </c>
      <c r="W325" s="19" t="n">
        <v>0.6737532093290314</v>
      </c>
      <c r="X325" s="19" t="n">
        <v>0.4867451287134261</v>
      </c>
      <c r="Y325" s="19" t="n"/>
      <c r="Z325" s="19" t="n"/>
      <c r="AA325" s="19" t="n"/>
      <c r="AB325" s="19" t="n"/>
      <c r="AC325" s="19" t="n"/>
      <c r="AD325" s="19" t="n"/>
      <c r="AE325" s="19" t="n">
        <v>4.5514555</v>
      </c>
      <c r="AF325" s="19" t="n"/>
      <c r="AG325" s="19" t="n"/>
      <c r="AH325" s="19" t="n"/>
      <c r="AI325" s="19" t="n">
        <v>-4.8034296</v>
      </c>
      <c r="AJ325" s="19" t="n">
        <v>-4.8034296</v>
      </c>
      <c r="AK325" s="19" t="n">
        <v>4.505943</v>
      </c>
      <c r="AL325" s="19" t="inlineStr">
        <is>
          <t>Equity Scheme - Sectoral/ Thematic</t>
        </is>
      </c>
      <c r="AM325" s="19" t="n">
        <v>1.63</v>
      </c>
      <c r="AN325" s="19" t="n">
        <v>0</v>
      </c>
      <c r="AO325" s="19" t="n">
        <v>0.05</v>
      </c>
      <c r="AP325" s="19" t="n">
        <v>0.11</v>
      </c>
      <c r="AQ325" s="19" t="n">
        <v>1.79</v>
      </c>
      <c r="AR325" s="19" t="n">
        <v>0.64</v>
      </c>
      <c r="AS325" s="19" t="n">
        <v>0</v>
      </c>
      <c r="AT325" s="19" t="n">
        <v>0.05</v>
      </c>
      <c r="AU325" s="19" t="n">
        <v>0.11</v>
      </c>
      <c r="AV325" s="19" t="n">
        <v>0.8</v>
      </c>
      <c r="AW325" s="17" t="n">
        <v>0.3671099988108433</v>
      </c>
      <c r="AX325" s="18" t="inlineStr">
        <is>
          <t>-34cr</t>
        </is>
      </c>
      <c r="AY325" s="26" t="n">
        <v>1.572203029369102</v>
      </c>
      <c r="AZ325" s="26" t="n">
        <v>1.453221061498769</v>
      </c>
      <c r="BA325" s="26" t="n">
        <v>0.6637991707537738</v>
      </c>
      <c r="BB325" s="28" t="n">
        <v>4</v>
      </c>
      <c r="BC325" t="n">
        <v>1</v>
      </c>
      <c r="BD325" t="n">
        <v>1</v>
      </c>
      <c r="BE325" t="n">
        <v>1</v>
      </c>
      <c r="BF325" t="n">
        <v>1</v>
      </c>
      <c r="BG325" t="n">
        <v>0</v>
      </c>
      <c r="BH325" t="n">
        <v>0</v>
      </c>
    </row>
    <row r="326">
      <c r="A326" s="19" t="inlineStr">
        <is>
          <t>SBI Equity Minimum Variance Fund</t>
        </is>
      </c>
      <c r="B326" s="19" t="inlineStr">
        <is>
          <t>sectorial:thematic</t>
        </is>
      </c>
      <c r="C326" s="19" t="inlineStr">
        <is>
          <t>Nifty 50 TRI</t>
        </is>
      </c>
      <c r="D326" s="19" t="inlineStr">
        <is>
          <t>Very High</t>
        </is>
      </c>
      <c r="E326" s="19" t="inlineStr">
        <is>
          <t>Very High</t>
        </is>
      </c>
      <c r="F326" s="20" t="n">
        <v>46023</v>
      </c>
      <c r="G326" s="19" t="n">
        <v>24.6205</v>
      </c>
      <c r="H326" s="19" t="n">
        <v>25.2319</v>
      </c>
      <c r="I326" s="19" t="n">
        <v>6.5779357</v>
      </c>
      <c r="J326" s="19" t="n">
        <v>-4.9155563</v>
      </c>
      <c r="K326" s="19" t="n">
        <v>11.493492</v>
      </c>
      <c r="L326" s="19" t="n">
        <v>14.117372</v>
      </c>
      <c r="M326" s="19" t="n">
        <v>-0.1859099999999998</v>
      </c>
      <c r="N326" s="19" t="n">
        <v>14.303282</v>
      </c>
      <c r="O326" s="19" t="n">
        <v>14.443408</v>
      </c>
      <c r="P326" s="19" t="n">
        <v>-0.1790420000000008</v>
      </c>
      <c r="Q326" s="19" t="n">
        <v>14.62245</v>
      </c>
      <c r="R326" s="19" t="n"/>
      <c r="S326" s="19" t="n"/>
      <c r="T326" s="19" t="n"/>
      <c r="U326" s="19" t="n">
        <v>14.592965</v>
      </c>
      <c r="V326" s="19" t="n">
        <v>220.31</v>
      </c>
      <c r="W326" s="19" t="n">
        <v>-1.060855489274201</v>
      </c>
      <c r="X326" s="19" t="n">
        <v>-1.136886043112234</v>
      </c>
      <c r="Y326" s="19" t="n"/>
      <c r="Z326" s="19" t="n"/>
      <c r="AA326" s="19" t="n">
        <v>-0.05637438239704533</v>
      </c>
      <c r="AB326" s="19" t="n">
        <v>-0.1143972625340545</v>
      </c>
      <c r="AC326" s="19" t="n">
        <v>-0.06624900353306849</v>
      </c>
      <c r="AD326" s="19" t="n">
        <v>-0.1215646965582653</v>
      </c>
      <c r="AE326" s="19" t="n">
        <v>6.2272406</v>
      </c>
      <c r="AF326" s="19" t="n"/>
      <c r="AG326" s="19" t="n">
        <v>13.745347</v>
      </c>
      <c r="AH326" s="19" t="n">
        <v>14.050566</v>
      </c>
      <c r="AI326" s="19" t="n">
        <v>14.15055</v>
      </c>
      <c r="AJ326" s="19" t="n">
        <v>14.15055</v>
      </c>
      <c r="AK326" s="19" t="n">
        <v>14.180006</v>
      </c>
      <c r="AL326" s="19" t="inlineStr">
        <is>
          <t>Equity Scheme - Sectoral/ Thematic</t>
        </is>
      </c>
      <c r="AM326" s="19" t="n">
        <v>0.7</v>
      </c>
      <c r="AN326" s="19" t="n">
        <v>0</v>
      </c>
      <c r="AO326" s="19" t="n">
        <v>0</v>
      </c>
      <c r="AP326" s="19" t="n">
        <v>0.05</v>
      </c>
      <c r="AQ326" s="19" t="n">
        <v>0.75</v>
      </c>
      <c r="AR326" s="19" t="n">
        <v>0.37</v>
      </c>
      <c r="AS326" s="19" t="n">
        <v>0</v>
      </c>
      <c r="AT326" s="19" t="n">
        <v>0</v>
      </c>
      <c r="AU326" s="19" t="n">
        <v>0.05</v>
      </c>
      <c r="AV326" s="19" t="n">
        <v>0.42</v>
      </c>
      <c r="AW326" s="17" t="n">
        <v>1.234623938995052</v>
      </c>
      <c r="AX326" s="18" t="inlineStr">
        <is>
          <t>-3cr</t>
        </is>
      </c>
      <c r="AY326" s="26" t="n">
        <v>1.427956976434676</v>
      </c>
      <c r="AZ326" s="26" t="n">
        <v>1.453221061498769</v>
      </c>
      <c r="BA326" s="26" t="n">
        <v>0.512688517661372</v>
      </c>
      <c r="BB326" s="28" t="n">
        <v>4</v>
      </c>
      <c r="BC326" t="n">
        <v>1</v>
      </c>
      <c r="BD326" t="n">
        <v>1</v>
      </c>
      <c r="BE326" t="n">
        <v>1</v>
      </c>
      <c r="BF326" t="n">
        <v>0</v>
      </c>
      <c r="BG326" t="n">
        <v>0</v>
      </c>
      <c r="BH326" t="n">
        <v>1</v>
      </c>
    </row>
    <row r="327">
      <c r="A327" s="19" t="inlineStr">
        <is>
          <t>SBI ESG Exclusionary Strategy Fund</t>
        </is>
      </c>
      <c r="B327" s="19" t="inlineStr">
        <is>
          <t>sectorial:thematic</t>
        </is>
      </c>
      <c r="C327" s="19" t="inlineStr">
        <is>
          <t>Nifty 100 ESG TRI</t>
        </is>
      </c>
      <c r="D327" s="19" t="inlineStr">
        <is>
          <t>Very High</t>
        </is>
      </c>
      <c r="E327" s="19" t="inlineStr">
        <is>
          <t>Very High</t>
        </is>
      </c>
      <c r="F327" s="20" t="n">
        <v>46023</v>
      </c>
      <c r="G327" s="19" t="n">
        <v>247.069</v>
      </c>
      <c r="H327" s="19" t="n">
        <v>271.441</v>
      </c>
      <c r="I327" s="19" t="n">
        <v>7.829658</v>
      </c>
      <c r="J327" s="19" t="n">
        <v>-3.95703</v>
      </c>
      <c r="K327" s="19" t="n">
        <v>11.786688</v>
      </c>
      <c r="L327" s="19" t="n">
        <v>15.277224</v>
      </c>
      <c r="M327" s="19" t="n">
        <v>-0.715147</v>
      </c>
      <c r="N327" s="19" t="n">
        <v>15.992371</v>
      </c>
      <c r="O327" s="19" t="n">
        <v>14.557496</v>
      </c>
      <c r="P327" s="19" t="n">
        <v>-0.2611439999999998</v>
      </c>
      <c r="Q327" s="19" t="n">
        <v>14.81864</v>
      </c>
      <c r="R327" s="19" t="n">
        <v>13.606261</v>
      </c>
      <c r="S327" s="19" t="n">
        <v>-1.39906</v>
      </c>
      <c r="T327" s="19" t="n">
        <v>15.005321</v>
      </c>
      <c r="U327" s="19" t="n">
        <v>14.158729</v>
      </c>
      <c r="V327" s="19" t="n">
        <v>5717.94</v>
      </c>
      <c r="W327" s="19" t="n">
        <v>-1.064604142344836</v>
      </c>
      <c r="X327" s="19" t="n">
        <v>-1.230382217794759</v>
      </c>
      <c r="Y327" s="19" t="n">
        <v>-0.3485322915237978</v>
      </c>
      <c r="Z327" s="19" t="n">
        <v>-0.5521893608335052</v>
      </c>
      <c r="AA327" s="19" t="n">
        <v>-0.2040106409334609</v>
      </c>
      <c r="AB327" s="19" t="n">
        <v>-0.3763380900838311</v>
      </c>
      <c r="AC327" s="19" t="n">
        <v>-0.08253435449441912</v>
      </c>
      <c r="AD327" s="19" t="n">
        <v>-0.2685208058942981</v>
      </c>
      <c r="AE327" s="19" t="n">
        <v>7.1946573</v>
      </c>
      <c r="AF327" s="19" t="n">
        <v>12.761981</v>
      </c>
      <c r="AG327" s="19" t="n">
        <v>14.569934</v>
      </c>
      <c r="AH327" s="19" t="n">
        <v>13.802552</v>
      </c>
      <c r="AI327" s="19" t="n"/>
      <c r="AJ327" s="19" t="n">
        <v>14.613676</v>
      </c>
      <c r="AK327" s="19" t="n">
        <v>9.588957000000001</v>
      </c>
      <c r="AL327" s="19" t="inlineStr">
        <is>
          <t>Equity Scheme - Sectoral/ Thematic</t>
        </is>
      </c>
      <c r="AM327" s="19" t="n">
        <v>1.7</v>
      </c>
      <c r="AN327" s="19" t="n">
        <v>0</v>
      </c>
      <c r="AO327" s="19" t="n">
        <v>0.05</v>
      </c>
      <c r="AP327" s="19" t="n">
        <v>0.19</v>
      </c>
      <c r="AQ327" s="19" t="n">
        <v>1.94</v>
      </c>
      <c r="AR327" s="19" t="n">
        <v>1.1</v>
      </c>
      <c r="AS327" s="19" t="n">
        <v>0</v>
      </c>
      <c r="AT327" s="19" t="n">
        <v>0.05</v>
      </c>
      <c r="AU327" s="19" t="n">
        <v>0.19</v>
      </c>
      <c r="AV327" s="19" t="n">
        <v>1.34</v>
      </c>
      <c r="AW327" s="17" t="n">
        <v>0.9403736310629429</v>
      </c>
      <c r="AX327" s="18" t="inlineStr">
        <is>
          <t>-54cr</t>
        </is>
      </c>
      <c r="AY327" s="26" t="n">
        <v>1.246824735170717</v>
      </c>
      <c r="AZ327" s="26" t="n">
        <v>1.453221061498769</v>
      </c>
      <c r="BA327" s="26" t="n">
        <v>0.468457580300181</v>
      </c>
      <c r="BB327" s="28" t="n">
        <v>3</v>
      </c>
      <c r="BC327" t="n">
        <v>1</v>
      </c>
      <c r="BD327" t="n">
        <v>1</v>
      </c>
      <c r="BE327" t="n">
        <v>0</v>
      </c>
      <c r="BF327" t="n">
        <v>0</v>
      </c>
      <c r="BG327" t="n">
        <v>0</v>
      </c>
      <c r="BH327" t="n">
        <v>1</v>
      </c>
    </row>
    <row r="328">
      <c r="A328" s="19" t="inlineStr">
        <is>
          <t>SBI Innovative Opportunities Fund</t>
        </is>
      </c>
      <c r="B328" s="19" t="inlineStr">
        <is>
          <t>sectorial:thematic</t>
        </is>
      </c>
      <c r="C328" s="19" t="inlineStr">
        <is>
          <t>Nifty 500 TRI</t>
        </is>
      </c>
      <c r="D328" s="19" t="inlineStr">
        <is>
          <t>Very High</t>
        </is>
      </c>
      <c r="E328" s="19" t="inlineStr">
        <is>
          <t>Very High</t>
        </is>
      </c>
      <c r="F328" s="20" t="n">
        <v>46023</v>
      </c>
      <c r="G328" s="19" t="n">
        <v>9.878500000000001</v>
      </c>
      <c r="H328" s="19" t="n">
        <v>10.0328</v>
      </c>
      <c r="I328" s="19" t="n">
        <v>-1.549452</v>
      </c>
      <c r="J328" s="19" t="n">
        <v>-8.9684803</v>
      </c>
      <c r="K328" s="19" t="n">
        <v>7.4190283</v>
      </c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>
        <v>-0.22493511</v>
      </c>
      <c r="V328" s="19" t="n">
        <v>5950.63</v>
      </c>
      <c r="W328" s="19" t="n">
        <v>-1.19377642545585</v>
      </c>
      <c r="X328" s="19" t="n">
        <v>-1.348144262061563</v>
      </c>
      <c r="Y328" s="19" t="n"/>
      <c r="Z328" s="19" t="n"/>
      <c r="AA328" s="19" t="n"/>
      <c r="AB328" s="19" t="n"/>
      <c r="AC328" s="19" t="n"/>
      <c r="AD328" s="19" t="n"/>
      <c r="AE328" s="19" t="n">
        <v>-2.630749</v>
      </c>
      <c r="AF328" s="19" t="n"/>
      <c r="AG328" s="19" t="n"/>
      <c r="AH328" s="19" t="n"/>
      <c r="AI328" s="19" t="n">
        <v>1.8231789</v>
      </c>
      <c r="AJ328" s="19" t="n">
        <v>1.8231789</v>
      </c>
      <c r="AK328" s="19" t="n">
        <v>-1.3459687</v>
      </c>
      <c r="AL328" s="19" t="inlineStr">
        <is>
          <t>Equity Scheme - Sectoral/ Thematic</t>
        </is>
      </c>
      <c r="AM328" s="19" t="n">
        <v>1.71</v>
      </c>
      <c r="AN328" s="19" t="n">
        <v>0</v>
      </c>
      <c r="AO328" s="19" t="n">
        <v>0.05</v>
      </c>
      <c r="AP328" s="19" t="n">
        <v>0.13</v>
      </c>
      <c r="AQ328" s="19" t="n">
        <v>1.89</v>
      </c>
      <c r="AR328" s="19" t="n">
        <v>0.75</v>
      </c>
      <c r="AS328" s="19" t="n">
        <v>0</v>
      </c>
      <c r="AT328" s="19" t="n">
        <v>0.05</v>
      </c>
      <c r="AU328" s="19" t="n">
        <v>0.13</v>
      </c>
      <c r="AV328" s="19" t="n">
        <v>0.93</v>
      </c>
      <c r="AW328" s="17" t="n">
        <v>5.383463599652464</v>
      </c>
      <c r="AX328" s="18" t="inlineStr">
        <is>
          <t>-320cr</t>
        </is>
      </c>
      <c r="AY328" s="26" t="n">
        <v>1.041560739593357</v>
      </c>
      <c r="AZ328" s="26" t="n">
        <v>1.453221061498769</v>
      </c>
      <c r="BA328" s="26" t="n">
        <v>0.5806775249029951</v>
      </c>
      <c r="BB328" s="28" t="n">
        <v>2</v>
      </c>
      <c r="BC328" t="n">
        <v>0</v>
      </c>
      <c r="BD328" t="n">
        <v>1</v>
      </c>
      <c r="BE328" t="n">
        <v>0</v>
      </c>
      <c r="BF328" t="n">
        <v>0</v>
      </c>
      <c r="BG328" t="n">
        <v>0</v>
      </c>
      <c r="BH328" t="n">
        <v>1</v>
      </c>
    </row>
    <row r="329">
      <c r="A329" s="19" t="inlineStr">
        <is>
          <t>SBI MNC Fund</t>
        </is>
      </c>
      <c r="B329" s="19" t="inlineStr">
        <is>
          <t>sectorial:thematic</t>
        </is>
      </c>
      <c r="C329" s="19" t="inlineStr">
        <is>
          <t>Nifty MNC TRI</t>
        </is>
      </c>
      <c r="D329" s="19" t="inlineStr">
        <is>
          <t>Very High</t>
        </is>
      </c>
      <c r="E329" s="19" t="inlineStr">
        <is>
          <t>Very High</t>
        </is>
      </c>
      <c r="F329" s="20" t="n">
        <v>46023</v>
      </c>
      <c r="G329" s="19" t="n">
        <v>352.5481</v>
      </c>
      <c r="H329" s="19" t="n">
        <v>389.6045</v>
      </c>
      <c r="I329" s="19" t="n">
        <v>-5.170647</v>
      </c>
      <c r="J329" s="19" t="n">
        <v>-15.477111</v>
      </c>
      <c r="K329" s="19" t="n">
        <v>10.306464</v>
      </c>
      <c r="L329" s="19" t="n">
        <v>8.688586000000001</v>
      </c>
      <c r="M329" s="19" t="n">
        <v>-8.377692</v>
      </c>
      <c r="N329" s="19" t="n">
        <v>17.066278</v>
      </c>
      <c r="O329" s="19" t="n">
        <v>11.282283</v>
      </c>
      <c r="P329" s="19" t="n">
        <v>-4.317080000000001</v>
      </c>
      <c r="Q329" s="19" t="n">
        <v>15.599363</v>
      </c>
      <c r="R329" s="19" t="n">
        <v>10.979409</v>
      </c>
      <c r="S329" s="19" t="n">
        <v>-2.863638999999999</v>
      </c>
      <c r="T329" s="19" t="n">
        <v>13.843048</v>
      </c>
      <c r="U329" s="19" t="n">
        <v>14.25806</v>
      </c>
      <c r="V329" s="19" t="n">
        <v>5815.98</v>
      </c>
      <c r="W329" s="19" t="n">
        <v>-2.137889293710338</v>
      </c>
      <c r="X329" s="19" t="n">
        <v>-2.230477161286399</v>
      </c>
      <c r="Y329" s="19" t="n">
        <v>-0.3534811977714843</v>
      </c>
      <c r="Z329" s="19" t="n">
        <v>-0.4474865349480668</v>
      </c>
      <c r="AA329" s="19" t="n">
        <v>-0.9587489509322674</v>
      </c>
      <c r="AB329" s="19" t="n">
        <v>-1.044108133289908</v>
      </c>
      <c r="AC329" s="19" t="n">
        <v>-0.4938322354804706</v>
      </c>
      <c r="AD329" s="19" t="n">
        <v>-0.580514848316934</v>
      </c>
      <c r="AE329" s="19" t="n">
        <v>-5.7974114</v>
      </c>
      <c r="AF329" s="19" t="n">
        <v>10.116236</v>
      </c>
      <c r="AG329" s="19" t="n">
        <v>7.949546</v>
      </c>
      <c r="AH329" s="19" t="n">
        <v>10.501366</v>
      </c>
      <c r="AI329" s="19" t="n">
        <v>15.933036</v>
      </c>
      <c r="AJ329" s="19" t="n">
        <v>15.045706</v>
      </c>
      <c r="AK329" s="19" t="n">
        <v>15.230673</v>
      </c>
      <c r="AL329" s="19" t="inlineStr">
        <is>
          <t>Equity Scheme - Sectoral/ Thematic</t>
        </is>
      </c>
      <c r="AM329" s="19" t="n">
        <v>1.7</v>
      </c>
      <c r="AN329" s="19" t="n">
        <v>0</v>
      </c>
      <c r="AO329" s="19" t="n">
        <v>0.05</v>
      </c>
      <c r="AP329" s="19" t="n">
        <v>0.18</v>
      </c>
      <c r="AQ329" s="19" t="n">
        <v>1.93</v>
      </c>
      <c r="AR329" s="19" t="n">
        <v>1.02</v>
      </c>
      <c r="AS329" s="19" t="n">
        <v>0</v>
      </c>
      <c r="AT329" s="19" t="n">
        <v>0.05</v>
      </c>
      <c r="AU329" s="19" t="n">
        <v>0.18</v>
      </c>
      <c r="AV329" s="19" t="n">
        <v>1.25</v>
      </c>
      <c r="AW329" s="17" t="n">
        <v>3.058985759923534</v>
      </c>
      <c r="AX329" s="18" t="inlineStr">
        <is>
          <t>-178cr</t>
        </is>
      </c>
      <c r="AY329" s="26" t="n">
        <v>1.195042435032264</v>
      </c>
      <c r="AZ329" s="26" t="n">
        <v>1.453221061498769</v>
      </c>
      <c r="BA329" s="26" t="n">
        <v>0.4873659214777892</v>
      </c>
      <c r="BB329" s="28" t="n">
        <v>2</v>
      </c>
      <c r="BC329" t="n">
        <v>0</v>
      </c>
      <c r="BD329" t="n">
        <v>1</v>
      </c>
      <c r="BE329" t="n">
        <v>0</v>
      </c>
      <c r="BF329" t="n">
        <v>0</v>
      </c>
      <c r="BG329" t="n">
        <v>0</v>
      </c>
      <c r="BH329" t="n">
        <v>1</v>
      </c>
    </row>
    <row r="330">
      <c r="A330" s="19" t="inlineStr">
        <is>
          <t>SBI Quant Fund</t>
        </is>
      </c>
      <c r="B330" s="19" t="inlineStr">
        <is>
          <t>sectorial:thematic</t>
        </is>
      </c>
      <c r="C330" s="19" t="inlineStr">
        <is>
          <t>BSE 200 TRI</t>
        </is>
      </c>
      <c r="D330" s="19" t="inlineStr">
        <is>
          <t>Very High</t>
        </is>
      </c>
      <c r="E330" s="19" t="inlineStr">
        <is>
          <t>Very High</t>
        </is>
      </c>
      <c r="F330" s="20" t="n">
        <v>46023</v>
      </c>
      <c r="G330" s="19" t="n">
        <v>10.4742</v>
      </c>
      <c r="H330" s="19" t="n">
        <v>10.6008</v>
      </c>
      <c r="I330" s="19" t="n">
        <v>5.708844</v>
      </c>
      <c r="J330" s="19" t="n">
        <v>-3.376358000000001</v>
      </c>
      <c r="K330" s="19" t="n">
        <v>9.085202000000001</v>
      </c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>
        <v>5.8916802</v>
      </c>
      <c r="V330" s="19" t="n">
        <v>3645.38</v>
      </c>
      <c r="W330" s="19" t="n">
        <v>-0.6210035388069497</v>
      </c>
      <c r="X330" s="19" t="n">
        <v>-0.8622639436379247</v>
      </c>
      <c r="Y330" s="19" t="n"/>
      <c r="Z330" s="19" t="n"/>
      <c r="AA330" s="19" t="n"/>
      <c r="AB330" s="19" t="n"/>
      <c r="AC330" s="19" t="n"/>
      <c r="AD330" s="19" t="n"/>
      <c r="AE330" s="19" t="n">
        <v>4.470377</v>
      </c>
      <c r="AF330" s="19" t="n"/>
      <c r="AG330" s="19" t="n"/>
      <c r="AH330" s="19" t="n"/>
      <c r="AI330" s="19" t="n">
        <v>9.107637</v>
      </c>
      <c r="AJ330" s="19" t="n">
        <v>9.107637</v>
      </c>
      <c r="AK330" s="19" t="n">
        <v>4.650726</v>
      </c>
      <c r="AL330" s="19" t="inlineStr">
        <is>
          <t>Equity Scheme - Sectoral/ Thematic</t>
        </is>
      </c>
      <c r="AM330" s="19" t="n">
        <v>1.77</v>
      </c>
      <c r="AN330" s="19" t="n">
        <v>0</v>
      </c>
      <c r="AO330" s="19" t="n">
        <v>0.05</v>
      </c>
      <c r="AP330" s="19" t="n">
        <v>0.11</v>
      </c>
      <c r="AQ330" s="19" t="n">
        <v>1.93</v>
      </c>
      <c r="AR330" s="19" t="n">
        <v>0.64</v>
      </c>
      <c r="AS330" s="19" t="n">
        <v>0</v>
      </c>
      <c r="AT330" s="19" t="n">
        <v>0.05</v>
      </c>
      <c r="AU330" s="19" t="n">
        <v>0.11</v>
      </c>
      <c r="AV330" s="19" t="n">
        <v>0.8</v>
      </c>
      <c r="AW330" s="17" t="n">
        <v>1.256110474079519</v>
      </c>
      <c r="AX330" s="18" t="inlineStr">
        <is>
          <t>-46cr</t>
        </is>
      </c>
      <c r="AY330" s="26" t="n">
        <v>2.267644964386298</v>
      </c>
      <c r="AZ330" s="26" t="n">
        <v>1.453221061498769</v>
      </c>
      <c r="BA330" s="26" t="n">
        <v>0.5326106778528571</v>
      </c>
      <c r="BB330" s="28" t="n">
        <v>3</v>
      </c>
      <c r="BC330" t="n">
        <v>1</v>
      </c>
      <c r="BD330" t="n">
        <v>1</v>
      </c>
      <c r="BE330" t="n">
        <v>1</v>
      </c>
      <c r="BF330" t="n">
        <v>0</v>
      </c>
      <c r="BG330" t="n">
        <v>0</v>
      </c>
      <c r="BH330" t="n">
        <v>0</v>
      </c>
    </row>
    <row r="331">
      <c r="A331" s="19" t="inlineStr">
        <is>
          <t>Shriram Multi Sector Rotation Fund</t>
        </is>
      </c>
      <c r="B331" s="19" t="inlineStr">
        <is>
          <t>sectorial:thematic</t>
        </is>
      </c>
      <c r="C331" s="19" t="inlineStr">
        <is>
          <t>Nifty 500 TRI</t>
        </is>
      </c>
      <c r="D331" s="19" t="inlineStr">
        <is>
          <t>Very High</t>
        </is>
      </c>
      <c r="E331" s="19" t="inlineStr">
        <is>
          <t>Very High</t>
        </is>
      </c>
      <c r="F331" s="20" t="n">
        <v>46023</v>
      </c>
      <c r="G331" s="19" t="n">
        <v>8.1755</v>
      </c>
      <c r="H331" s="19" t="n">
        <v>8.326599999999999</v>
      </c>
      <c r="I331" s="19" t="n">
        <v>-16.91098</v>
      </c>
      <c r="J331" s="19" t="n">
        <v>-24.3300083</v>
      </c>
      <c r="K331" s="19" t="n">
        <v>7.4190283</v>
      </c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>
        <v>-15.8251705</v>
      </c>
      <c r="V331" s="19" t="n">
        <v>194.49</v>
      </c>
      <c r="W331" s="19" t="n">
        <v>-2.894756504103859</v>
      </c>
      <c r="X331" s="19" t="n">
        <v>-3.093435126540501</v>
      </c>
      <c r="Y331" s="19" t="n"/>
      <c r="Z331" s="19" t="n"/>
      <c r="AA331" s="19" t="n"/>
      <c r="AB331" s="19" t="n"/>
      <c r="AC331" s="19" t="n"/>
      <c r="AD331" s="19" t="n"/>
      <c r="AE331" s="19" t="n">
        <v>-18.338095</v>
      </c>
      <c r="AF331" s="19" t="n"/>
      <c r="AG331" s="19" t="n"/>
      <c r="AH331" s="19" t="n"/>
      <c r="AI331" s="19" t="n">
        <v>3.4682105</v>
      </c>
      <c r="AJ331" s="19" t="n">
        <v>3.4682105</v>
      </c>
      <c r="AK331" s="19" t="n">
        <v>-17.262894</v>
      </c>
      <c r="AL331" s="19" t="inlineStr">
        <is>
          <t>Equity Scheme - Sectoral/ Thematic</t>
        </is>
      </c>
      <c r="AM331" s="19" t="n">
        <v>2.25</v>
      </c>
      <c r="AN331" s="19" t="n">
        <v>0</v>
      </c>
      <c r="AO331" s="19" t="n">
        <v>0.05</v>
      </c>
      <c r="AP331" s="19" t="n">
        <v>0.083</v>
      </c>
      <c r="AQ331" s="19" t="n">
        <v>2.383</v>
      </c>
      <c r="AR331" s="19" t="n">
        <v>0.65</v>
      </c>
      <c r="AS331" s="19" t="n">
        <v>0</v>
      </c>
      <c r="AT331" s="19" t="n">
        <v>0.05</v>
      </c>
      <c r="AU331" s="19" t="n">
        <v>0.083</v>
      </c>
      <c r="AV331" s="19" t="n">
        <v>0.783</v>
      </c>
      <c r="AW331" s="17" t="n">
        <v>1.948686307779316</v>
      </c>
      <c r="AX331" s="18" t="inlineStr">
        <is>
          <t>-4cr</t>
        </is>
      </c>
      <c r="AY331" s="26" t="n">
        <v>1.687752313535565</v>
      </c>
      <c r="AZ331" s="26" t="n">
        <v>1.453221061498769</v>
      </c>
      <c r="BA331" s="26" t="n">
        <v>0.5798329377540626</v>
      </c>
      <c r="BB331" s="28" t="n">
        <v>2</v>
      </c>
      <c r="BC331" t="n">
        <v>0</v>
      </c>
      <c r="BD331" t="n">
        <v>1</v>
      </c>
      <c r="BE331" t="n">
        <v>1</v>
      </c>
      <c r="BF331" t="n">
        <v>0</v>
      </c>
      <c r="BG331" t="n">
        <v>0</v>
      </c>
      <c r="BH331" t="n">
        <v>0</v>
      </c>
    </row>
    <row r="332">
      <c r="A332" s="19" t="inlineStr">
        <is>
          <t>Sundaram Business Cycle Fund</t>
        </is>
      </c>
      <c r="B332" s="19" t="inlineStr">
        <is>
          <t>sectorial:thematic</t>
        </is>
      </c>
      <c r="C332" s="19" t="inlineStr">
        <is>
          <t>Nifty 500 TRI</t>
        </is>
      </c>
      <c r="D332" s="19" t="inlineStr">
        <is>
          <t>Very High</t>
        </is>
      </c>
      <c r="E332" s="19" t="inlineStr">
        <is>
          <t>Very High</t>
        </is>
      </c>
      <c r="F332" s="20" t="n">
        <v>46023</v>
      </c>
      <c r="G332" s="19" t="n">
        <v>10.9438</v>
      </c>
      <c r="H332" s="19" t="n">
        <v>11.2129</v>
      </c>
      <c r="I332" s="19" t="n">
        <v>2.2972147</v>
      </c>
      <c r="J332" s="19" t="n">
        <v>-5.121813599999999</v>
      </c>
      <c r="K332" s="19" t="n">
        <v>7.4190283</v>
      </c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>
        <v>7.733406</v>
      </c>
      <c r="V332" s="19" t="n">
        <v>1795.2</v>
      </c>
      <c r="W332" s="19" t="n">
        <v>-1.157046841283951</v>
      </c>
      <c r="X332" s="19" t="n">
        <v>-1.524344621219514</v>
      </c>
      <c r="Y332" s="19" t="n"/>
      <c r="Z332" s="19" t="n"/>
      <c r="AA332" s="19" t="n"/>
      <c r="AB332" s="19" t="n"/>
      <c r="AC332" s="19" t="n"/>
      <c r="AD332" s="19" t="n"/>
      <c r="AE332" s="19" t="n">
        <v>0.70950705</v>
      </c>
      <c r="AF332" s="19" t="n"/>
      <c r="AG332" s="19" t="n"/>
      <c r="AH332" s="19" t="n"/>
      <c r="AI332" s="19" t="n">
        <v>5.253426</v>
      </c>
      <c r="AJ332" s="19" t="n">
        <v>5.253426</v>
      </c>
      <c r="AK332" s="19" t="n">
        <v>6.029186</v>
      </c>
      <c r="AL332" s="19" t="inlineStr">
        <is>
          <t>Equity Scheme - Sectoral/ Thematic</t>
        </is>
      </c>
      <c r="AM332" s="19" t="n">
        <v>1.94</v>
      </c>
      <c r="AN332" s="19" t="n">
        <v>0</v>
      </c>
      <c r="AO332" s="19" t="n">
        <v>0.05</v>
      </c>
      <c r="AP332" s="19" t="n">
        <v>0.07000000000000001</v>
      </c>
      <c r="AQ332" s="19" t="n">
        <v>2.06</v>
      </c>
      <c r="AR332" s="19" t="n">
        <v>0.47</v>
      </c>
      <c r="AS332" s="19" t="n">
        <v>0</v>
      </c>
      <c r="AT332" s="19" t="n">
        <v>0.05</v>
      </c>
      <c r="AU332" s="19" t="n">
        <v>0.07000000000000001</v>
      </c>
      <c r="AV332" s="19" t="n">
        <v>0.59</v>
      </c>
      <c r="AW332" s="17" t="n">
        <v>1.454991087344022</v>
      </c>
      <c r="AX332" s="18" t="inlineStr">
        <is>
          <t>-26cr</t>
        </is>
      </c>
      <c r="AY332" s="26" t="n">
        <v>1.236603758349772</v>
      </c>
      <c r="AZ332" s="26" t="n">
        <v>1.453221061498769</v>
      </c>
      <c r="BA332" s="26" t="n">
        <v>0.5514869244929194</v>
      </c>
      <c r="BB332" s="28" t="n">
        <v>3</v>
      </c>
      <c r="BC332" t="n">
        <v>0</v>
      </c>
      <c r="BD332" t="n">
        <v>1</v>
      </c>
      <c r="BE332" t="n">
        <v>1</v>
      </c>
      <c r="BF332" t="n">
        <v>0</v>
      </c>
      <c r="BG332" t="n">
        <v>0</v>
      </c>
      <c r="BH332" t="n">
        <v>1</v>
      </c>
    </row>
    <row r="333">
      <c r="A333" s="19" t="inlineStr">
        <is>
          <t>Sundaram Financial Services Opportunities Fund</t>
        </is>
      </c>
      <c r="B333" s="19" t="inlineStr">
        <is>
          <t>sectorial:thematic</t>
        </is>
      </c>
      <c r="C333" s="19" t="inlineStr">
        <is>
          <t>Nifty Financial Services TRI</t>
        </is>
      </c>
      <c r="D333" s="19" t="inlineStr">
        <is>
          <t>Very High</t>
        </is>
      </c>
      <c r="E333" s="19" t="inlineStr">
        <is>
          <t>Very High</t>
        </is>
      </c>
      <c r="F333" s="20" t="n">
        <v>46023</v>
      </c>
      <c r="G333" s="19" t="n">
        <v>110.9874</v>
      </c>
      <c r="H333" s="19" t="n">
        <v>125.9938</v>
      </c>
      <c r="I333" s="19" t="n">
        <v>18.78789</v>
      </c>
      <c r="J333" s="19" t="n">
        <v>0.4976699999999994</v>
      </c>
      <c r="K333" s="19" t="n">
        <v>18.29022</v>
      </c>
      <c r="L333" s="19" t="n">
        <v>19.933828</v>
      </c>
      <c r="M333" s="19" t="n">
        <v>5.475237999999999</v>
      </c>
      <c r="N333" s="19" t="n">
        <v>14.45859</v>
      </c>
      <c r="O333" s="19" t="n">
        <v>19.006025</v>
      </c>
      <c r="P333" s="19" t="n">
        <v>5.284973000000001</v>
      </c>
      <c r="Q333" s="19" t="n">
        <v>13.721052</v>
      </c>
      <c r="R333" s="19" t="n">
        <v>16.658133</v>
      </c>
      <c r="S333" s="19" t="n">
        <v>1.186284499999999</v>
      </c>
      <c r="T333" s="19" t="n">
        <v>15.4718485</v>
      </c>
      <c r="U333" s="19" t="n">
        <v>14.55424</v>
      </c>
      <c r="V333" s="19" t="n">
        <v>1672.31</v>
      </c>
      <c r="W333" s="19" t="n">
        <v>0.08718599597988518</v>
      </c>
      <c r="X333" s="19" t="n">
        <v>-0.1302450580048415</v>
      </c>
      <c r="Y333" s="19" t="n">
        <v>0.1826165961402114</v>
      </c>
      <c r="Z333" s="19" t="n">
        <v>-0.05294664459360254</v>
      </c>
      <c r="AA333" s="19" t="n">
        <v>0.8461575068548511</v>
      </c>
      <c r="AB333" s="19" t="n">
        <v>0.5954699081289007</v>
      </c>
      <c r="AC333" s="19" t="n">
        <v>0.8887081881839699</v>
      </c>
      <c r="AD333" s="19" t="n">
        <v>0.6084513568687764</v>
      </c>
      <c r="AE333" s="19" t="n">
        <v>17.239552</v>
      </c>
      <c r="AF333" s="19" t="n">
        <v>15.337745</v>
      </c>
      <c r="AG333" s="19" t="n">
        <v>18.277933</v>
      </c>
      <c r="AH333" s="19" t="n">
        <v>17.331049</v>
      </c>
      <c r="AI333" s="19" t="n">
        <v>15.677298</v>
      </c>
      <c r="AJ333" s="19" t="n">
        <v>14.639613</v>
      </c>
      <c r="AK333" s="19" t="n">
        <v>14.678802</v>
      </c>
      <c r="AL333" s="19" t="inlineStr">
        <is>
          <t>Equity Scheme - Sectoral/ Thematic</t>
        </is>
      </c>
      <c r="AM333" s="19" t="n">
        <v>1.93</v>
      </c>
      <c r="AN333" s="19" t="n">
        <v>0</v>
      </c>
      <c r="AO333" s="19" t="n">
        <v>0.05</v>
      </c>
      <c r="AP333" s="19" t="n">
        <v>0.1</v>
      </c>
      <c r="AQ333" s="19" t="n">
        <v>2.08</v>
      </c>
      <c r="AR333" s="19" t="n">
        <v>0.61</v>
      </c>
      <c r="AS333" s="19" t="n">
        <v>0</v>
      </c>
      <c r="AT333" s="19" t="n">
        <v>0.05</v>
      </c>
      <c r="AU333" s="19" t="n">
        <v>0.1</v>
      </c>
      <c r="AV333" s="19" t="n">
        <v>0.76</v>
      </c>
      <c r="AW333" s="17" t="n">
        <v>-0.2804503949626597</v>
      </c>
      <c r="AX333" t="inlineStr">
        <is>
          <t>5cr</t>
        </is>
      </c>
      <c r="AY333" s="26" t="n">
        <v>2.596501213631789</v>
      </c>
      <c r="AZ333" s="26" t="n">
        <v>1.453221061498769</v>
      </c>
      <c r="BA333" s="26" t="n">
        <v>0.6383482155749074</v>
      </c>
      <c r="BB333" s="28" t="n">
        <v>3</v>
      </c>
      <c r="BC333" t="n">
        <v>1</v>
      </c>
      <c r="BD333" t="n">
        <v>0</v>
      </c>
      <c r="BE333" t="n">
        <v>1</v>
      </c>
      <c r="BF333" t="n">
        <v>1</v>
      </c>
      <c r="BG333" t="n">
        <v>0</v>
      </c>
      <c r="BH333" t="n">
        <v>0</v>
      </c>
    </row>
    <row r="334">
      <c r="A334" s="19" t="inlineStr">
        <is>
          <t>Sundaram Multi-Factor Fund</t>
        </is>
      </c>
      <c r="B334" s="19" t="inlineStr">
        <is>
          <t>sectorial:thematic</t>
        </is>
      </c>
      <c r="C334" s="19" t="inlineStr">
        <is>
          <t>BSE 200 TRI</t>
        </is>
      </c>
      <c r="D334" s="19" t="inlineStr">
        <is>
          <t>Very High</t>
        </is>
      </c>
      <c r="E334" s="19" t="inlineStr">
        <is>
          <t>Very High</t>
        </is>
      </c>
      <c r="F334" s="20" t="n">
        <v>46023</v>
      </c>
      <c r="G334" s="19" t="n">
        <v>10.5698</v>
      </c>
      <c r="H334" s="19" t="n">
        <v>10.6501</v>
      </c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>
        <v>1019.91</v>
      </c>
      <c r="W334" s="19" t="n"/>
      <c r="X334" s="19" t="n"/>
      <c r="Y334" s="19" t="n"/>
      <c r="Z334" s="19" t="n"/>
      <c r="AA334" s="19" t="n"/>
      <c r="AB334" s="19" t="n"/>
      <c r="AC334" s="19" t="n"/>
      <c r="AD334" s="19" t="n"/>
      <c r="AE334" s="19" t="n"/>
      <c r="AF334" s="19" t="n"/>
      <c r="AG334" s="19" t="n"/>
      <c r="AH334" s="19" t="n"/>
      <c r="AI334" s="19" t="n"/>
      <c r="AJ334" s="19" t="n"/>
      <c r="AK334" s="19" t="n"/>
      <c r="AL334" s="19" t="inlineStr">
        <is>
          <t>Equity Scheme - Sectoral/ Thematic</t>
        </is>
      </c>
      <c r="AM334" s="19" t="n">
        <v>2.06</v>
      </c>
      <c r="AN334" s="19" t="n">
        <v>0</v>
      </c>
      <c r="AO334" s="19" t="n">
        <v>0.05</v>
      </c>
      <c r="AP334" s="19" t="n">
        <v>0.08</v>
      </c>
      <c r="AQ334" s="19" t="n">
        <v>2.19</v>
      </c>
      <c r="AR334" s="19" t="n">
        <v>0.46</v>
      </c>
      <c r="AS334" s="19" t="n">
        <v>0</v>
      </c>
      <c r="AT334" s="19" t="n">
        <v>0.05</v>
      </c>
      <c r="AU334" s="19" t="n">
        <v>0.08</v>
      </c>
      <c r="AV334" s="19" t="n">
        <v>0.59</v>
      </c>
      <c r="AW334" s="17" t="n">
        <v>-2.202155092115964</v>
      </c>
      <c r="AX334" t="inlineStr">
        <is>
          <t>22cr</t>
        </is>
      </c>
      <c r="AY334" s="26" t="n">
        <v>1.387595692518236</v>
      </c>
      <c r="AZ334" s="26" t="n">
        <v>1.453221061498769</v>
      </c>
      <c r="BA334" s="26" t="n">
        <v>0.5888738675508169</v>
      </c>
      <c r="BB334" s="28" t="n">
        <v>2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1</v>
      </c>
    </row>
    <row r="335">
      <c r="A335" s="19" t="inlineStr">
        <is>
          <t>Sundaram Services Fund</t>
        </is>
      </c>
      <c r="B335" s="19" t="inlineStr">
        <is>
          <t>sectorial:thematic</t>
        </is>
      </c>
      <c r="C335" s="19" t="inlineStr">
        <is>
          <t>Nifty Services Sector TRI</t>
        </is>
      </c>
      <c r="D335" s="19" t="inlineStr">
        <is>
          <t>Very High</t>
        </is>
      </c>
      <c r="E335" s="19" t="inlineStr">
        <is>
          <t>Very High</t>
        </is>
      </c>
      <c r="F335" s="20" t="n">
        <v>46023</v>
      </c>
      <c r="G335" s="19" t="n">
        <v>36.4383</v>
      </c>
      <c r="H335" s="19" t="n">
        <v>39.6481</v>
      </c>
      <c r="I335" s="19" t="n">
        <v>11.929773</v>
      </c>
      <c r="J335" s="19" t="n">
        <v>3.412589000000001</v>
      </c>
      <c r="K335" s="19" t="n">
        <v>8.517184</v>
      </c>
      <c r="L335" s="19" t="n">
        <v>20.249582</v>
      </c>
      <c r="M335" s="19" t="n">
        <v>8.119571000000001</v>
      </c>
      <c r="N335" s="19" t="n">
        <v>12.130011</v>
      </c>
      <c r="O335" s="19" t="n">
        <v>21.661005</v>
      </c>
      <c r="P335" s="19" t="n">
        <v>8.921645</v>
      </c>
      <c r="Q335" s="19" t="n">
        <v>12.73936</v>
      </c>
      <c r="R335" s="19" t="n"/>
      <c r="S335" s="19" t="n"/>
      <c r="T335" s="19" t="n"/>
      <c r="U335" s="19" t="n">
        <v>20.643723</v>
      </c>
      <c r="V335" s="19" t="n">
        <v>4845.49</v>
      </c>
      <c r="W335" s="19" t="n">
        <v>0.5114501186916995</v>
      </c>
      <c r="X335" s="19" t="n">
        <v>0.333041464455001</v>
      </c>
      <c r="Y335" s="19" t="n"/>
      <c r="Z335" s="19" t="n"/>
      <c r="AA335" s="19" t="n">
        <v>1.114269971008042</v>
      </c>
      <c r="AB335" s="19" t="n">
        <v>0.9271198490535568</v>
      </c>
      <c r="AC335" s="19" t="n">
        <v>1.132027355667448</v>
      </c>
      <c r="AD335" s="19" t="n">
        <v>0.9391589166843604</v>
      </c>
      <c r="AE335" s="19" t="n">
        <v>10.677338</v>
      </c>
      <c r="AF335" s="19" t="n"/>
      <c r="AG335" s="19" t="n">
        <v>18.867235</v>
      </c>
      <c r="AH335" s="19" t="n">
        <v>20.136196</v>
      </c>
      <c r="AI335" s="19" t="n">
        <v>12.318417</v>
      </c>
      <c r="AJ335" s="19" t="n">
        <v>12.318417</v>
      </c>
      <c r="AK335" s="19" t="n">
        <v>19.264011</v>
      </c>
      <c r="AL335" s="19" t="inlineStr">
        <is>
          <t>Equity Scheme - Sectoral/ Thematic</t>
        </is>
      </c>
      <c r="AM335" s="19" t="n">
        <v>1.73</v>
      </c>
      <c r="AN335" s="19" t="n">
        <v>0</v>
      </c>
      <c r="AO335" s="19" t="n">
        <v>0.05</v>
      </c>
      <c r="AP335" s="19" t="n">
        <v>0.09</v>
      </c>
      <c r="AQ335" s="19" t="n">
        <v>1.87</v>
      </c>
      <c r="AR335" s="19" t="n">
        <v>0.53</v>
      </c>
      <c r="AS335" s="19" t="n">
        <v>0</v>
      </c>
      <c r="AT335" s="19" t="n">
        <v>0.05</v>
      </c>
      <c r="AU335" s="19" t="n">
        <v>0.09</v>
      </c>
      <c r="AV335" s="19" t="n">
        <v>0.68</v>
      </c>
      <c r="AW335" s="17" t="n">
        <v>-1.505730070643011</v>
      </c>
      <c r="AX335" t="inlineStr">
        <is>
          <t>73cr</t>
        </is>
      </c>
      <c r="AY335" s="26" t="n">
        <v>1.267025257121742</v>
      </c>
      <c r="AZ335" s="26" t="n">
        <v>1.453221061498769</v>
      </c>
      <c r="BA335" s="26" t="n">
        <v>0.5696476897370542</v>
      </c>
      <c r="BB335" s="28" t="n">
        <v>4</v>
      </c>
      <c r="BC335" t="n">
        <v>1</v>
      </c>
      <c r="BD335" t="n">
        <v>0</v>
      </c>
      <c r="BE335" t="n">
        <v>1</v>
      </c>
      <c r="BF335" t="n">
        <v>1</v>
      </c>
      <c r="BG335" t="n">
        <v>0</v>
      </c>
      <c r="BH335" t="n">
        <v>1</v>
      </c>
    </row>
    <row r="336">
      <c r="A336" s="19" t="inlineStr">
        <is>
          <t>Tata Business Cycle Fund</t>
        </is>
      </c>
      <c r="B336" s="19" t="inlineStr">
        <is>
          <t>sectorial:thematic</t>
        </is>
      </c>
      <c r="C336" s="19" t="inlineStr">
        <is>
          <t>Nifty 500 TRI</t>
        </is>
      </c>
      <c r="D336" s="19" t="inlineStr">
        <is>
          <t>Very High</t>
        </is>
      </c>
      <c r="E336" s="19" t="inlineStr">
        <is>
          <t>Very High</t>
        </is>
      </c>
      <c r="F336" s="20" t="n">
        <v>46023</v>
      </c>
      <c r="G336" s="19" t="n">
        <v>19.0074</v>
      </c>
      <c r="H336" s="19" t="n">
        <v>20.3964</v>
      </c>
      <c r="I336" s="19" t="n">
        <v>1.9473379</v>
      </c>
      <c r="J336" s="19" t="n">
        <v>-5.4716904</v>
      </c>
      <c r="K336" s="19" t="n">
        <v>7.4190283</v>
      </c>
      <c r="L336" s="19" t="n">
        <v>18.869217</v>
      </c>
      <c r="M336" s="19" t="n">
        <v>2.146988</v>
      </c>
      <c r="N336" s="19" t="n">
        <v>16.722229</v>
      </c>
      <c r="O336" s="19" t="n"/>
      <c r="P336" s="19" t="n"/>
      <c r="Q336" s="19" t="n"/>
      <c r="R336" s="19" t="n"/>
      <c r="S336" s="19" t="n"/>
      <c r="T336" s="19" t="n"/>
      <c r="U336" s="19" t="n">
        <v>17.526207</v>
      </c>
      <c r="V336" s="19" t="n">
        <v>2830.71</v>
      </c>
      <c r="W336" s="19" t="n">
        <v>-1.659286999660874</v>
      </c>
      <c r="X336" s="19" t="n">
        <v>-2.111190687165325</v>
      </c>
      <c r="Y336" s="19" t="n"/>
      <c r="Z336" s="19" t="n"/>
      <c r="AA336" s="19" t="n">
        <v>0.5489142811558493</v>
      </c>
      <c r="AB336" s="19" t="n">
        <v>0.09601786619052208</v>
      </c>
      <c r="AC336" s="19" t="n"/>
      <c r="AD336" s="19" t="n"/>
      <c r="AE336" s="19" t="n">
        <v>0.5134768</v>
      </c>
      <c r="AF336" s="19" t="n"/>
      <c r="AG336" s="19" t="n">
        <v>17.04912</v>
      </c>
      <c r="AH336" s="19" t="n"/>
      <c r="AI336" s="19" t="n">
        <v>14.070395</v>
      </c>
      <c r="AJ336" s="19" t="n">
        <v>14.070395</v>
      </c>
      <c r="AK336" s="19" t="n">
        <v>15.663087</v>
      </c>
      <c r="AL336" s="19" t="inlineStr">
        <is>
          <t>Equity Scheme - Sectoral/ Thematic</t>
        </is>
      </c>
      <c r="AM336" s="19" t="n">
        <v>1.82</v>
      </c>
      <c r="AN336" s="19" t="n">
        <v>0</v>
      </c>
      <c r="AO336" s="19" t="n">
        <v>0.05</v>
      </c>
      <c r="AP336" s="19" t="n">
        <v>0.07000000000000001</v>
      </c>
      <c r="AQ336" s="19" t="n">
        <v>1.94</v>
      </c>
      <c r="AR336" s="19" t="n">
        <v>0.46</v>
      </c>
      <c r="AS336" s="19" t="n">
        <v>0</v>
      </c>
      <c r="AT336" s="19" t="n">
        <v>0.05</v>
      </c>
      <c r="AU336" s="19" t="n">
        <v>0.07000000000000001</v>
      </c>
      <c r="AV336" s="19" t="n">
        <v>0.58</v>
      </c>
      <c r="AW336" s="17" t="n">
        <v>1.450166212716957</v>
      </c>
      <c r="AX336" s="18" t="inlineStr">
        <is>
          <t>-41cr</t>
        </is>
      </c>
      <c r="AY336" s="26" t="n">
        <v>1.179969539878095</v>
      </c>
      <c r="AZ336" s="26" t="n">
        <v>1.453221061498769</v>
      </c>
      <c r="BA336" s="26" t="n">
        <v>0.5339130278249884</v>
      </c>
      <c r="BB336" s="28" t="n">
        <v>3</v>
      </c>
      <c r="BC336" t="n">
        <v>0</v>
      </c>
      <c r="BD336" t="n">
        <v>1</v>
      </c>
      <c r="BE336" t="n">
        <v>1</v>
      </c>
      <c r="BF336" t="n">
        <v>0</v>
      </c>
      <c r="BG336" t="n">
        <v>0</v>
      </c>
      <c r="BH336" t="n">
        <v>1</v>
      </c>
    </row>
    <row r="337">
      <c r="A337" s="19" t="inlineStr">
        <is>
          <t>Tata Digital India Fund</t>
        </is>
      </c>
      <c r="B337" s="19" t="inlineStr">
        <is>
          <t>sectorial:thematic</t>
        </is>
      </c>
      <c r="C337" s="19" t="inlineStr">
        <is>
          <t>Nifty IT TRI</t>
        </is>
      </c>
      <c r="D337" s="19" t="inlineStr">
        <is>
          <t>Very High</t>
        </is>
      </c>
      <c r="E337" s="19" t="inlineStr">
        <is>
          <t>Very High</t>
        </is>
      </c>
      <c r="F337" s="20" t="n">
        <v>46023</v>
      </c>
      <c r="G337" s="19" t="n">
        <v>48.9259</v>
      </c>
      <c r="H337" s="19" t="n">
        <v>57.331</v>
      </c>
      <c r="I337" s="19" t="n">
        <v>-8.337422999999999</v>
      </c>
      <c r="J337" s="19" t="n">
        <v>1.496213000000001</v>
      </c>
      <c r="K337" s="19" t="n">
        <v>-9.833636</v>
      </c>
      <c r="L337" s="19" t="n">
        <v>17.573078</v>
      </c>
      <c r="M337" s="19" t="n">
        <v>5.260956999999999</v>
      </c>
      <c r="N337" s="19" t="n">
        <v>12.312121</v>
      </c>
      <c r="O337" s="19" t="n">
        <v>17.47775</v>
      </c>
      <c r="P337" s="19" t="n">
        <v>5.969389</v>
      </c>
      <c r="Q337" s="19" t="n">
        <v>11.508361</v>
      </c>
      <c r="R337" s="19" t="n">
        <v>19.06522</v>
      </c>
      <c r="S337" s="19" t="n">
        <v>3.687316000000001</v>
      </c>
      <c r="T337" s="19" t="n">
        <v>15.377904</v>
      </c>
      <c r="U337" s="19" t="n">
        <v>19.040237</v>
      </c>
      <c r="V337" s="19" t="n">
        <v>12317.32</v>
      </c>
      <c r="W337" s="19" t="n">
        <v>0.1705482215530902</v>
      </c>
      <c r="X337" s="19" t="n">
        <v>-0.01610558052304857</v>
      </c>
      <c r="Y337" s="19" t="n">
        <v>0.4401530728022936</v>
      </c>
      <c r="Z337" s="19" t="n">
        <v>0.1819107037272204</v>
      </c>
      <c r="AA337" s="19" t="n">
        <v>0.6916775879730995</v>
      </c>
      <c r="AB337" s="19" t="n">
        <v>0.4658359552175435</v>
      </c>
      <c r="AC337" s="19" t="n">
        <v>0.7990777920709456</v>
      </c>
      <c r="AD337" s="19" t="n">
        <v>0.5498972596554843</v>
      </c>
      <c r="AE337" s="19" t="n">
        <v>-9.477282000000001</v>
      </c>
      <c r="AF337" s="19" t="n">
        <v>17.195908</v>
      </c>
      <c r="AG337" s="19" t="n">
        <v>16.01052</v>
      </c>
      <c r="AH337" s="19" t="n">
        <v>15.774365</v>
      </c>
      <c r="AI337" s="19" t="n">
        <v>15.260417</v>
      </c>
      <c r="AJ337" s="19" t="n">
        <v>15.260417</v>
      </c>
      <c r="AK337" s="19" t="n">
        <v>17.171474</v>
      </c>
      <c r="AL337" s="19" t="inlineStr">
        <is>
          <t>Equity Scheme - Sectoral/ Thematic</t>
        </is>
      </c>
      <c r="AM337" s="19" t="n">
        <v>1.58</v>
      </c>
      <c r="AN337" s="19" t="n">
        <v>0</v>
      </c>
      <c r="AO337" s="19" t="n">
        <v>0.05</v>
      </c>
      <c r="AP337" s="19" t="n">
        <v>0.07000000000000001</v>
      </c>
      <c r="AQ337" s="19" t="n">
        <v>1.7</v>
      </c>
      <c r="AR337" s="19" t="n">
        <v>0.39</v>
      </c>
      <c r="AS337" s="19" t="n">
        <v>0</v>
      </c>
      <c r="AT337" s="19" t="n">
        <v>0.05</v>
      </c>
      <c r="AU337" s="19" t="n">
        <v>0.07000000000000001</v>
      </c>
      <c r="AV337" s="19" t="n">
        <v>0.51</v>
      </c>
      <c r="AW337" s="17" t="n">
        <v>-1.362146960540108</v>
      </c>
      <c r="AX337" t="inlineStr">
        <is>
          <t>168cr</t>
        </is>
      </c>
      <c r="AY337" s="26" t="n">
        <v>3.049130996445487</v>
      </c>
      <c r="AZ337" s="26" t="n">
        <v>1.453221061498769</v>
      </c>
      <c r="BA337" s="26" t="n">
        <v>0.8284283388368726</v>
      </c>
      <c r="BB337" s="28" t="n">
        <v>2</v>
      </c>
      <c r="BC337" t="n">
        <v>0</v>
      </c>
      <c r="BD337" t="n">
        <v>0</v>
      </c>
      <c r="BE337" t="n">
        <v>1</v>
      </c>
      <c r="BF337" t="n">
        <v>1</v>
      </c>
      <c r="BG337" t="n">
        <v>0</v>
      </c>
      <c r="BH337" t="n">
        <v>0</v>
      </c>
    </row>
    <row r="338">
      <c r="A338" s="19" t="inlineStr">
        <is>
          <t>Tata Ethical Fund</t>
        </is>
      </c>
      <c r="B338" s="19" t="inlineStr">
        <is>
          <t>sectorial:thematic</t>
        </is>
      </c>
      <c r="C338" s="19" t="inlineStr">
        <is>
          <t>Nifty 500 Shariah TRI</t>
        </is>
      </c>
      <c r="D338" s="19" t="inlineStr">
        <is>
          <t>Very High</t>
        </is>
      </c>
      <c r="E338" s="19" t="inlineStr">
        <is>
          <t>Very High</t>
        </is>
      </c>
      <c r="F338" s="20" t="n">
        <v>46023</v>
      </c>
      <c r="G338" s="19" t="n">
        <v>390.2374</v>
      </c>
      <c r="H338" s="19" t="n">
        <v>448.1095</v>
      </c>
      <c r="I338" s="19" t="n">
        <v>-0.17929922</v>
      </c>
      <c r="J338" s="19" t="n">
        <v>2.64361328</v>
      </c>
      <c r="K338" s="19" t="n">
        <v>-2.8229125</v>
      </c>
      <c r="L338" s="19" t="n">
        <v>13.746862</v>
      </c>
      <c r="M338" s="19" t="n">
        <v>1.02435</v>
      </c>
      <c r="N338" s="19" t="n">
        <v>12.722512</v>
      </c>
      <c r="O338" s="19" t="n">
        <v>15.154878</v>
      </c>
      <c r="P338" s="19" t="n">
        <v>1.404693999999999</v>
      </c>
      <c r="Q338" s="19" t="n">
        <v>13.750184</v>
      </c>
      <c r="R338" s="19" t="n">
        <v>12.930034</v>
      </c>
      <c r="S338" s="19" t="n">
        <v>-1.231925</v>
      </c>
      <c r="T338" s="19" t="n">
        <v>14.161959</v>
      </c>
      <c r="U338" s="19" t="n">
        <v>14.858886</v>
      </c>
      <c r="V338" s="19" t="n">
        <v>3829.85</v>
      </c>
      <c r="W338" s="19" t="n">
        <v>0.8762430396990595</v>
      </c>
      <c r="X338" s="19" t="n">
        <v>0.4387091779104705</v>
      </c>
      <c r="Y338" s="19" t="n">
        <v>-0.3525077154391498</v>
      </c>
      <c r="Z338" s="19" t="n">
        <v>-0.6724785582528074</v>
      </c>
      <c r="AA338" s="19" t="n">
        <v>0.2666966329265769</v>
      </c>
      <c r="AB338" s="19" t="n">
        <v>-0.1659010286186776</v>
      </c>
      <c r="AC338" s="19" t="n">
        <v>0.3652337389623596</v>
      </c>
      <c r="AD338" s="19" t="n">
        <v>-0.03026483841349272</v>
      </c>
      <c r="AE338" s="19" t="n">
        <v>-1.4183832</v>
      </c>
      <c r="AF338" s="19" t="n">
        <v>11.667379</v>
      </c>
      <c r="AG338" s="19" t="n">
        <v>12.353462</v>
      </c>
      <c r="AH338" s="19" t="n">
        <v>13.763713</v>
      </c>
      <c r="AI338" s="19" t="n"/>
      <c r="AJ338" s="19" t="n">
        <v>15.217777</v>
      </c>
      <c r="AK338" s="19" t="n">
        <v>13.709488</v>
      </c>
      <c r="AL338" s="19" t="inlineStr">
        <is>
          <t>Equity Scheme - Sectoral/ Thematic</t>
        </is>
      </c>
      <c r="AM338" s="19" t="n">
        <v>1.76</v>
      </c>
      <c r="AN338" s="19" t="n">
        <v>0</v>
      </c>
      <c r="AO338" s="19" t="n">
        <v>0.05</v>
      </c>
      <c r="AP338" s="19" t="n">
        <v>0.09</v>
      </c>
      <c r="AQ338" s="19" t="n">
        <v>1.9</v>
      </c>
      <c r="AR338" s="19" t="n">
        <v>0.57</v>
      </c>
      <c r="AS338" s="19" t="n">
        <v>0</v>
      </c>
      <c r="AT338" s="19" t="n">
        <v>0.05</v>
      </c>
      <c r="AU338" s="19" t="n">
        <v>0.09</v>
      </c>
      <c r="AV338" s="19" t="n">
        <v>0.71</v>
      </c>
      <c r="AW338" s="17" t="n">
        <v>-1.390393879655861</v>
      </c>
      <c r="AX338" t="inlineStr">
        <is>
          <t>53cr</t>
        </is>
      </c>
      <c r="AY338" s="26" t="n">
        <v>1.023276223411761</v>
      </c>
      <c r="AZ338" s="26" t="n">
        <v>1.453221061498769</v>
      </c>
      <c r="BA338" s="26" t="n">
        <v>0.5059259131374555</v>
      </c>
      <c r="BB338" s="28" t="n">
        <v>3</v>
      </c>
      <c r="BC338" t="n">
        <v>0</v>
      </c>
      <c r="BD338" t="n">
        <v>0</v>
      </c>
      <c r="BE338" t="n">
        <v>1</v>
      </c>
      <c r="BF338" t="n">
        <v>1</v>
      </c>
      <c r="BG338" t="n">
        <v>0</v>
      </c>
      <c r="BH338" t="n">
        <v>1</v>
      </c>
    </row>
    <row r="339">
      <c r="A339" s="19" t="inlineStr">
        <is>
          <t>Tata Housing Opportunities Fund</t>
        </is>
      </c>
      <c r="B339" s="19" t="inlineStr">
        <is>
          <t>sectorial:thematic</t>
        </is>
      </c>
      <c r="C339" s="19" t="inlineStr">
        <is>
          <t>Nifty Housing TRI</t>
        </is>
      </c>
      <c r="D339" s="19" t="inlineStr">
        <is>
          <t>Very High</t>
        </is>
      </c>
      <c r="E339" s="19" t="inlineStr">
        <is>
          <t>Very High</t>
        </is>
      </c>
      <c r="F339" s="20" t="n">
        <v>46023</v>
      </c>
      <c r="G339" s="19" t="n">
        <v>15.0498</v>
      </c>
      <c r="H339" s="19" t="n">
        <v>15.9398</v>
      </c>
      <c r="I339" s="19" t="n">
        <v>-1.9167697</v>
      </c>
      <c r="J339" s="19" t="n">
        <v>-10.0429927</v>
      </c>
      <c r="K339" s="19" t="n">
        <v>8.126223</v>
      </c>
      <c r="L339" s="19" t="n">
        <v>16.655378</v>
      </c>
      <c r="M339" s="19" t="n">
        <v>3.016112999999999</v>
      </c>
      <c r="N339" s="19" t="n">
        <v>13.639265</v>
      </c>
      <c r="O339" s="19" t="n"/>
      <c r="P339" s="19" t="n"/>
      <c r="Q339" s="19" t="n"/>
      <c r="R339" s="19" t="n"/>
      <c r="S339" s="19" t="n"/>
      <c r="T339" s="19" t="n"/>
      <c r="U339" s="19" t="n">
        <v>15.008045</v>
      </c>
      <c r="V339" s="19" t="n">
        <v>516.5599999999999</v>
      </c>
      <c r="W339" s="19" t="n">
        <v>-1.599438163697323</v>
      </c>
      <c r="X339" s="19" t="n">
        <v>-1.867649149349078</v>
      </c>
      <c r="Y339" s="19" t="n"/>
      <c r="Z339" s="19" t="n"/>
      <c r="AA339" s="19" t="n">
        <v>0.3405198544708236</v>
      </c>
      <c r="AB339" s="19" t="n">
        <v>0.1005619887715055</v>
      </c>
      <c r="AC339" s="19" t="n"/>
      <c r="AD339" s="19" t="n"/>
      <c r="AE339" s="19" t="n">
        <v>-3.5207386</v>
      </c>
      <c r="AF339" s="19" t="n"/>
      <c r="AG339" s="19" t="n">
        <v>14.711868</v>
      </c>
      <c r="AH339" s="19" t="n"/>
      <c r="AI339" s="19" t="n">
        <v>12.8916235</v>
      </c>
      <c r="AJ339" s="19" t="n">
        <v>12.8916235</v>
      </c>
      <c r="AK339" s="19" t="n">
        <v>13.043249</v>
      </c>
      <c r="AL339" s="19" t="inlineStr">
        <is>
          <t>Equity Scheme - Sectoral/ Thematic</t>
        </is>
      </c>
      <c r="AM339" s="19" t="n">
        <v>2.24</v>
      </c>
      <c r="AN339" s="19" t="n">
        <v>0</v>
      </c>
      <c r="AO339" s="19" t="n">
        <v>0.05</v>
      </c>
      <c r="AP339" s="19" t="n">
        <v>0.1</v>
      </c>
      <c r="AQ339" s="19" t="n">
        <v>2.39</v>
      </c>
      <c r="AR339" s="19" t="n">
        <v>0.65</v>
      </c>
      <c r="AS339" s="19" t="n">
        <v>0</v>
      </c>
      <c r="AT339" s="19" t="n">
        <v>0.05</v>
      </c>
      <c r="AU339" s="19" t="n">
        <v>0.1</v>
      </c>
      <c r="AV339" s="19" t="n">
        <v>0.8</v>
      </c>
      <c r="AW339" s="17" t="n">
        <v>2.160446027566997</v>
      </c>
      <c r="AX339" s="18" t="inlineStr">
        <is>
          <t>-11cr</t>
        </is>
      </c>
      <c r="AY339" s="26" t="n">
        <v>1.335826671164101</v>
      </c>
      <c r="AZ339" s="26" t="n">
        <v>1.453221061498769</v>
      </c>
      <c r="BA339" s="26" t="n">
        <v>0.5162046787352532</v>
      </c>
      <c r="BB339" s="28" t="n">
        <v>3</v>
      </c>
      <c r="BC339" t="n">
        <v>0</v>
      </c>
      <c r="BD339" t="n">
        <v>1</v>
      </c>
      <c r="BE339" t="n">
        <v>1</v>
      </c>
      <c r="BF339" t="n">
        <v>0</v>
      </c>
      <c r="BG339" t="n">
        <v>0</v>
      </c>
      <c r="BH339" t="n">
        <v>1</v>
      </c>
    </row>
    <row r="340">
      <c r="A340" s="19" t="inlineStr">
        <is>
          <t>Tata India Consumer Fund</t>
        </is>
      </c>
      <c r="B340" s="19" t="inlineStr">
        <is>
          <t>sectorial:thematic</t>
        </is>
      </c>
      <c r="C340" s="19" t="inlineStr">
        <is>
          <t>Nifty India Consumption TRI</t>
        </is>
      </c>
      <c r="D340" s="19" t="inlineStr">
        <is>
          <t>Very High</t>
        </is>
      </c>
      <c r="E340" s="19" t="inlineStr">
        <is>
          <t>Very High</t>
        </is>
      </c>
      <c r="F340" s="20" t="n">
        <v>46023</v>
      </c>
      <c r="G340" s="19" t="n">
        <v>44.93</v>
      </c>
      <c r="H340" s="19" t="n">
        <v>52.0008</v>
      </c>
      <c r="I340" s="19" t="n">
        <v>-2.295825</v>
      </c>
      <c r="J340" s="19" t="n">
        <v>-10.405538</v>
      </c>
      <c r="K340" s="19" t="n">
        <v>8.109712999999999</v>
      </c>
      <c r="L340" s="19" t="n">
        <v>19.995611</v>
      </c>
      <c r="M340" s="19" t="n">
        <v>1.48892</v>
      </c>
      <c r="N340" s="19" t="n">
        <v>18.506691</v>
      </c>
      <c r="O340" s="19" t="n">
        <v>17.84213</v>
      </c>
      <c r="P340" s="19" t="n">
        <v>1.066580999999999</v>
      </c>
      <c r="Q340" s="19" t="n">
        <v>16.775549</v>
      </c>
      <c r="R340" s="19" t="n">
        <v>17.728264</v>
      </c>
      <c r="S340" s="19" t="n">
        <v>3.500786999999999</v>
      </c>
      <c r="T340" s="19" t="n">
        <v>14.227477</v>
      </c>
      <c r="U340" s="19" t="n">
        <v>17.886465</v>
      </c>
      <c r="V340" s="19" t="n">
        <v>2644.13</v>
      </c>
      <c r="W340" s="19" t="n">
        <v>-1.353839834852356</v>
      </c>
      <c r="X340" s="19" t="n">
        <v>-1.525745053735227</v>
      </c>
      <c r="Y340" s="19" t="n">
        <v>0.4626346783605522</v>
      </c>
      <c r="Z340" s="19" t="n">
        <v>0.2387469893546609</v>
      </c>
      <c r="AA340" s="19" t="n">
        <v>0.1951203776969536</v>
      </c>
      <c r="AB340" s="19" t="n">
        <v>0.005406396763413717</v>
      </c>
      <c r="AC340" s="19" t="n">
        <v>0.1463241871295046</v>
      </c>
      <c r="AD340" s="19" t="n">
        <v>-0.0544753613577811</v>
      </c>
      <c r="AE340" s="19" t="n">
        <v>-3.5201302</v>
      </c>
      <c r="AF340" s="19" t="n">
        <v>16.024385</v>
      </c>
      <c r="AG340" s="19" t="n">
        <v>18.48795</v>
      </c>
      <c r="AH340" s="19" t="n">
        <v>16.32969</v>
      </c>
      <c r="AI340" s="19" t="n">
        <v>14.335406</v>
      </c>
      <c r="AJ340" s="19" t="n">
        <v>14.335406</v>
      </c>
      <c r="AK340" s="19" t="n">
        <v>16.179295</v>
      </c>
      <c r="AL340" s="19" t="inlineStr">
        <is>
          <t>Equity Scheme - Sectoral/ Thematic</t>
        </is>
      </c>
      <c r="AM340" s="19" t="n">
        <v>1.84</v>
      </c>
      <c r="AN340" s="19" t="n">
        <v>0</v>
      </c>
      <c r="AO340" s="19" t="n">
        <v>0.05</v>
      </c>
      <c r="AP340" s="19" t="n">
        <v>0.1</v>
      </c>
      <c r="AQ340" s="19" t="n">
        <v>1.99</v>
      </c>
      <c r="AR340" s="19" t="n">
        <v>0.61</v>
      </c>
      <c r="AS340" s="19" t="n">
        <v>0</v>
      </c>
      <c r="AT340" s="19" t="n">
        <v>0.05</v>
      </c>
      <c r="AU340" s="19" t="n">
        <v>0.1</v>
      </c>
      <c r="AV340" s="19" t="n">
        <v>0.76</v>
      </c>
      <c r="AW340" s="17" t="n">
        <v>1.332385321447887</v>
      </c>
      <c r="AX340" s="18" t="inlineStr">
        <is>
          <t>-35cr</t>
        </is>
      </c>
      <c r="AY340" s="26" t="n">
        <v>1.36049730715569</v>
      </c>
      <c r="AZ340" s="26" t="n">
        <v>1.453221061498769</v>
      </c>
      <c r="BA340" s="26" t="n">
        <v>0.5729573365315889</v>
      </c>
      <c r="BB340" s="28" t="n">
        <v>3</v>
      </c>
      <c r="BC340" t="n">
        <v>0</v>
      </c>
      <c r="BD340" t="n">
        <v>1</v>
      </c>
      <c r="BE340" t="n">
        <v>1</v>
      </c>
      <c r="BF340" t="n">
        <v>0</v>
      </c>
      <c r="BG340" t="n">
        <v>0</v>
      </c>
      <c r="BH340" t="n">
        <v>1</v>
      </c>
    </row>
    <row r="341">
      <c r="A341" s="19" t="inlineStr">
        <is>
          <t>Tata India Innovation Fund</t>
        </is>
      </c>
      <c r="B341" s="19" t="inlineStr">
        <is>
          <t>sectorial:thematic</t>
        </is>
      </c>
      <c r="C341" s="19" t="inlineStr">
        <is>
          <t>Nifty 500 TRI</t>
        </is>
      </c>
      <c r="D341" s="19" t="inlineStr">
        <is>
          <t>Very High</t>
        </is>
      </c>
      <c r="E341" s="19" t="inlineStr">
        <is>
          <t>Very High</t>
        </is>
      </c>
      <c r="F341" s="20" t="n">
        <v>46023</v>
      </c>
      <c r="G341" s="19" t="n">
        <v>9.9102</v>
      </c>
      <c r="H341" s="19" t="n">
        <v>10.078</v>
      </c>
      <c r="I341" s="19" t="n">
        <v>-0.78950995</v>
      </c>
      <c r="J341" s="19" t="n">
        <v>-8.20853825</v>
      </c>
      <c r="K341" s="19" t="n">
        <v>7.4190283</v>
      </c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>
        <v>0.71329737</v>
      </c>
      <c r="V341" s="19" t="n">
        <v>1616.2</v>
      </c>
      <c r="W341" s="19" t="n">
        <v>-1.51696621491233</v>
      </c>
      <c r="X341" s="19" t="n">
        <v>-1.820609414104986</v>
      </c>
      <c r="Y341" s="19" t="n"/>
      <c r="Z341" s="19" t="n"/>
      <c r="AA341" s="19" t="n"/>
      <c r="AB341" s="19" t="n"/>
      <c r="AC341" s="19" t="n"/>
      <c r="AD341" s="19" t="n"/>
      <c r="AE341" s="19" t="n">
        <v>-2.3115518</v>
      </c>
      <c r="AF341" s="19" t="n"/>
      <c r="AG341" s="19" t="n"/>
      <c r="AH341" s="19" t="n"/>
      <c r="AI341" s="19" t="n">
        <v>6.6349087</v>
      </c>
      <c r="AJ341" s="19" t="n">
        <v>6.6349087</v>
      </c>
      <c r="AK341" s="19" t="n">
        <v>-0.82179403</v>
      </c>
      <c r="AL341" s="19" t="inlineStr">
        <is>
          <t>Equity Scheme - Sectoral/ Thematic</t>
        </is>
      </c>
      <c r="AM341" s="19" t="n">
        <v>1.95</v>
      </c>
      <c r="AN341" s="19" t="n">
        <v>0</v>
      </c>
      <c r="AO341" s="19" t="n">
        <v>0.05</v>
      </c>
      <c r="AP341" s="19" t="n">
        <v>0.09</v>
      </c>
      <c r="AQ341" s="19" t="n">
        <v>2.09</v>
      </c>
      <c r="AR341" s="19" t="n">
        <v>0.51</v>
      </c>
      <c r="AS341" s="19" t="n">
        <v>0</v>
      </c>
      <c r="AT341" s="19" t="n">
        <v>0.05</v>
      </c>
      <c r="AU341" s="19" t="n">
        <v>0.09</v>
      </c>
      <c r="AV341" s="19" t="n">
        <v>0.65</v>
      </c>
      <c r="AW341" s="17" t="n">
        <v>5.583467392649425</v>
      </c>
      <c r="AX341" s="18" t="inlineStr">
        <is>
          <t>-90cr</t>
        </is>
      </c>
      <c r="AY341" s="26" t="n">
        <v>0.97117122116437</v>
      </c>
      <c r="AZ341" s="26" t="n">
        <v>1.453221061498769</v>
      </c>
      <c r="BA341" s="26" t="n">
        <v>0.5202075635172732</v>
      </c>
      <c r="BB341" s="28" t="n">
        <v>3</v>
      </c>
      <c r="BC341" t="n">
        <v>0</v>
      </c>
      <c r="BD341" t="n">
        <v>1</v>
      </c>
      <c r="BE341" t="n">
        <v>1</v>
      </c>
      <c r="BF341" t="n">
        <v>0</v>
      </c>
      <c r="BG341" t="n">
        <v>0</v>
      </c>
      <c r="BH341" t="n">
        <v>1</v>
      </c>
    </row>
    <row r="342">
      <c r="A342" s="19" t="inlineStr">
        <is>
          <t>Tata Infrastructure Fund</t>
        </is>
      </c>
      <c r="B342" s="19" t="inlineStr">
        <is>
          <t>sectorial:thematic</t>
        </is>
      </c>
      <c r="C342" s="19" t="inlineStr">
        <is>
          <t>BSE India Infrastructure TRI</t>
        </is>
      </c>
      <c r="D342" s="19" t="inlineStr">
        <is>
          <t>Very High</t>
        </is>
      </c>
      <c r="E342" s="19" t="inlineStr">
        <is>
          <t>Very High</t>
        </is>
      </c>
      <c r="F342" s="20" t="n">
        <v>46023</v>
      </c>
      <c r="G342" s="19" t="n">
        <v>167.406</v>
      </c>
      <c r="H342" s="19" t="n">
        <v>182.7731</v>
      </c>
      <c r="I342" s="19" t="n">
        <v>-5.84472</v>
      </c>
      <c r="J342" s="19" t="n">
        <v>-3.9528686</v>
      </c>
      <c r="K342" s="19" t="n">
        <v>-1.8918514</v>
      </c>
      <c r="L342" s="19" t="n">
        <v>19.6535</v>
      </c>
      <c r="M342" s="19" t="n">
        <v>-7.64359</v>
      </c>
      <c r="N342" s="19" t="n">
        <v>27.29709</v>
      </c>
      <c r="O342" s="19" t="n">
        <v>23.440468</v>
      </c>
      <c r="P342" s="19" t="n">
        <v>-5.462334000000002</v>
      </c>
      <c r="Q342" s="19" t="n">
        <v>28.902802</v>
      </c>
      <c r="R342" s="19" t="n">
        <v>15.551348</v>
      </c>
      <c r="S342" s="19" t="n">
        <v>-0.5217719999999986</v>
      </c>
      <c r="T342" s="19" t="n">
        <v>16.07312</v>
      </c>
      <c r="U342" s="19" t="n">
        <v>14.902219</v>
      </c>
      <c r="V342" s="19" t="n">
        <v>2029.48</v>
      </c>
      <c r="W342" s="19" t="n">
        <v>-0.6540497356021331</v>
      </c>
      <c r="X342" s="19" t="n">
        <v>-0.7893038287904283</v>
      </c>
      <c r="Y342" s="19" t="n">
        <v>-0.1362679538131574</v>
      </c>
      <c r="Z342" s="19" t="n">
        <v>-0.2122978746432878</v>
      </c>
      <c r="AA342" s="19" t="n">
        <v>-0.7403537632673989</v>
      </c>
      <c r="AB342" s="19" t="n">
        <v>-0.8321719517635305</v>
      </c>
      <c r="AC342" s="19" t="n">
        <v>-0.5315158018382917</v>
      </c>
      <c r="AD342" s="19" t="n">
        <v>-0.6203393293306797</v>
      </c>
      <c r="AE342" s="19" t="n">
        <v>-6.771001</v>
      </c>
      <c r="AF342" s="19" t="n">
        <v>14.705994</v>
      </c>
      <c r="AG342" s="19" t="n">
        <v>18.557816</v>
      </c>
      <c r="AH342" s="19" t="n">
        <v>22.336727</v>
      </c>
      <c r="AI342" s="19" t="n"/>
      <c r="AJ342" s="19" t="n">
        <v>15.051066</v>
      </c>
      <c r="AK342" s="19" t="n">
        <v>14.348173</v>
      </c>
      <c r="AL342" s="19" t="inlineStr">
        <is>
          <t>Equity Scheme - Sectoral/ Thematic</t>
        </is>
      </c>
      <c r="AM342" s="19" t="n">
        <v>1.91</v>
      </c>
      <c r="AN342" s="19" t="n">
        <v>0</v>
      </c>
      <c r="AO342" s="19" t="n">
        <v>0.05</v>
      </c>
      <c r="AP342" s="19" t="n">
        <v>0.16</v>
      </c>
      <c r="AQ342" s="19" t="n">
        <v>2.12</v>
      </c>
      <c r="AR342" s="19" t="n">
        <v>0.97</v>
      </c>
      <c r="AS342" s="19" t="n">
        <v>0</v>
      </c>
      <c r="AT342" s="19" t="n">
        <v>0.05</v>
      </c>
      <c r="AU342" s="19" t="n">
        <v>0.16</v>
      </c>
      <c r="AV342" s="19" t="n">
        <v>1.18</v>
      </c>
      <c r="AW342" s="17" t="n">
        <v>2.04288783333662</v>
      </c>
      <c r="AX342" s="18" t="inlineStr">
        <is>
          <t>-41cr</t>
        </is>
      </c>
      <c r="AY342" s="26" t="n">
        <v>1.355319986465743</v>
      </c>
      <c r="AZ342" s="26" t="n">
        <v>1.453221061498769</v>
      </c>
      <c r="BA342" s="26" t="n">
        <v>0.588206205896999</v>
      </c>
      <c r="BB342" s="28" t="n">
        <v>2</v>
      </c>
      <c r="BC342" t="n">
        <v>0</v>
      </c>
      <c r="BD342" t="n">
        <v>1</v>
      </c>
      <c r="BE342" t="n">
        <v>0</v>
      </c>
      <c r="BF342" t="n">
        <v>0</v>
      </c>
      <c r="BG342" t="n">
        <v>0</v>
      </c>
      <c r="BH342" t="n">
        <v>1</v>
      </c>
    </row>
    <row r="343">
      <c r="A343" s="19" t="inlineStr">
        <is>
          <t>Tata Resources &amp; Energy Fund</t>
        </is>
      </c>
      <c r="B343" s="19" t="inlineStr">
        <is>
          <t>sectorial:thematic</t>
        </is>
      </c>
      <c r="C343" s="19" t="inlineStr">
        <is>
          <t>Nifty Commodities TRI</t>
        </is>
      </c>
      <c r="D343" s="19" t="inlineStr">
        <is>
          <t>Very High</t>
        </is>
      </c>
      <c r="E343" s="19" t="inlineStr">
        <is>
          <t>Very High</t>
        </is>
      </c>
      <c r="F343" s="20" t="n">
        <v>46023</v>
      </c>
      <c r="G343" s="19" t="n">
        <v>46.4874</v>
      </c>
      <c r="H343" s="19" t="n">
        <v>54.938</v>
      </c>
      <c r="I343" s="19" t="n">
        <v>12.373616</v>
      </c>
      <c r="J343" s="19" t="n">
        <v>-6.924197000000001</v>
      </c>
      <c r="K343" s="19" t="n">
        <v>19.297813</v>
      </c>
      <c r="L343" s="19" t="n">
        <v>18.889507</v>
      </c>
      <c r="M343" s="19" t="n">
        <v>0.6878199999999985</v>
      </c>
      <c r="N343" s="19" t="n">
        <v>18.201687</v>
      </c>
      <c r="O343" s="19" t="n">
        <v>20.745373</v>
      </c>
      <c r="P343" s="19" t="n">
        <v>-1.044326999999999</v>
      </c>
      <c r="Q343" s="19" t="n">
        <v>21.7897</v>
      </c>
      <c r="R343" s="19" t="n">
        <v>18.46763</v>
      </c>
      <c r="S343" s="19" t="n">
        <v>1.794584</v>
      </c>
      <c r="T343" s="19" t="n">
        <v>16.673046</v>
      </c>
      <c r="U343" s="19" t="n">
        <v>18.534742</v>
      </c>
      <c r="V343" s="19" t="n">
        <v>1227.37</v>
      </c>
      <c r="W343" s="19" t="n">
        <v>-1.409564241706844</v>
      </c>
      <c r="X343" s="19" t="n">
        <v>-1.784022967598939</v>
      </c>
      <c r="Y343" s="19" t="n">
        <v>0.1963363979336058</v>
      </c>
      <c r="Z343" s="19" t="n">
        <v>-0.07473766900720241</v>
      </c>
      <c r="AA343" s="19" t="n">
        <v>0.1100008348566658</v>
      </c>
      <c r="AB343" s="19" t="n">
        <v>-0.2436279375291622</v>
      </c>
      <c r="AC343" s="19" t="n">
        <v>-0.1814828053524017</v>
      </c>
      <c r="AD343" s="19" t="n">
        <v>-0.5081492152712758</v>
      </c>
      <c r="AE343" s="19" t="n">
        <v>10.589495</v>
      </c>
      <c r="AF343" s="19" t="n">
        <v>16.509047</v>
      </c>
      <c r="AG343" s="19" t="n">
        <v>17.000715</v>
      </c>
      <c r="AH343" s="19" t="n">
        <v>18.808197</v>
      </c>
      <c r="AI343" s="19" t="n">
        <v>16.811405</v>
      </c>
      <c r="AJ343" s="19" t="n">
        <v>16.811405</v>
      </c>
      <c r="AK343" s="19" t="n">
        <v>16.575098</v>
      </c>
      <c r="AL343" s="19" t="inlineStr">
        <is>
          <t>Equity Scheme - Sectoral/ Thematic</t>
        </is>
      </c>
      <c r="AM343" s="19" t="n">
        <v>2</v>
      </c>
      <c r="AN343" s="19" t="n">
        <v>0</v>
      </c>
      <c r="AO343" s="19" t="n">
        <v>0.05</v>
      </c>
      <c r="AP343" s="19" t="n">
        <v>0.06</v>
      </c>
      <c r="AQ343" s="19" t="n">
        <v>2.11</v>
      </c>
      <c r="AR343" s="19" t="n">
        <v>0.47</v>
      </c>
      <c r="AS343" s="19" t="n">
        <v>0</v>
      </c>
      <c r="AT343" s="19" t="n">
        <v>0.05</v>
      </c>
      <c r="AU343" s="19" t="n">
        <v>0.06</v>
      </c>
      <c r="AV343" s="19" t="n">
        <v>0.58</v>
      </c>
      <c r="AW343" s="17" t="n">
        <v>-2.467063721616137</v>
      </c>
      <c r="AX343" t="inlineStr">
        <is>
          <t>30cr</t>
        </is>
      </c>
      <c r="AY343" s="26" t="n">
        <v>1.493893549553783</v>
      </c>
      <c r="AZ343" s="26" t="n">
        <v>1.453221061498769</v>
      </c>
      <c r="BA343" s="26" t="n">
        <v>0.6325208535679091</v>
      </c>
      <c r="BB343" s="28" t="n">
        <v>2</v>
      </c>
      <c r="BC343" t="n">
        <v>1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</row>
    <row r="344">
      <c r="A344" s="19" t="inlineStr">
        <is>
          <t>Taurus Ethical Fund</t>
        </is>
      </c>
      <c r="B344" s="19" t="inlineStr">
        <is>
          <t>sectorial:thematic</t>
        </is>
      </c>
      <c r="C344" s="19" t="inlineStr">
        <is>
          <t>BSE 500 Shariah TRI</t>
        </is>
      </c>
      <c r="D344" s="19" t="inlineStr">
        <is>
          <t>Very High</t>
        </is>
      </c>
      <c r="E344" s="19" t="inlineStr">
        <is>
          <t>Very High</t>
        </is>
      </c>
      <c r="F344" s="20" t="n">
        <v>46023</v>
      </c>
      <c r="G344" s="19" t="n">
        <v>129.75</v>
      </c>
      <c r="H344" s="19" t="n">
        <v>147.07</v>
      </c>
      <c r="I344" s="19" t="n">
        <v>1.8137764</v>
      </c>
      <c r="J344" s="19" t="n">
        <v>-1.8138202</v>
      </c>
      <c r="K344" s="19" t="n">
        <v>3.6275966</v>
      </c>
      <c r="L344" s="19" t="n">
        <v>17.011774</v>
      </c>
      <c r="M344" s="19" t="n">
        <v>3.333492999999999</v>
      </c>
      <c r="N344" s="19" t="n">
        <v>13.678281</v>
      </c>
      <c r="O344" s="19" t="n">
        <v>15.404208</v>
      </c>
      <c r="P344" s="19" t="n">
        <v>1.816856000000001</v>
      </c>
      <c r="Q344" s="19" t="n">
        <v>13.587352</v>
      </c>
      <c r="R344" s="19" t="n">
        <v>13.7862215</v>
      </c>
      <c r="S344" s="19" t="n">
        <v>0.03141950000000016</v>
      </c>
      <c r="T344" s="19" t="n">
        <v>13.754802</v>
      </c>
      <c r="U344" s="19" t="n">
        <v>15.07613</v>
      </c>
      <c r="V344" s="19" t="n">
        <v>371.7</v>
      </c>
      <c r="W344" s="19" t="n">
        <v>-0.7551611380769468</v>
      </c>
      <c r="X344" s="19" t="n">
        <v>-0.7600753725234399</v>
      </c>
      <c r="Y344" s="19" t="n">
        <v>-0.2298364966154493</v>
      </c>
      <c r="Z344" s="19" t="n">
        <v>-0.2411731270646471</v>
      </c>
      <c r="AA344" s="19" t="n">
        <v>-0.4060845126347841</v>
      </c>
      <c r="AB344" s="19" t="n">
        <v>-0.4138125861950173</v>
      </c>
      <c r="AC344" s="19" t="n">
        <v>-0.3141275865560087</v>
      </c>
      <c r="AD344" s="19" t="n">
        <v>-0.3229882856568224</v>
      </c>
      <c r="AE344" s="19" t="n">
        <v>0.40238336</v>
      </c>
      <c r="AF344" s="19" t="n">
        <v>12.595443</v>
      </c>
      <c r="AG344" s="19" t="n">
        <v>15.509079</v>
      </c>
      <c r="AH344" s="19" t="n">
        <v>14.075891</v>
      </c>
      <c r="AI344" s="19" t="n">
        <v>16.021172</v>
      </c>
      <c r="AJ344" s="19" t="n">
        <v>15.335838</v>
      </c>
      <c r="AK344" s="19" t="n">
        <v>16.51284</v>
      </c>
      <c r="AL344" s="19" t="inlineStr">
        <is>
          <t>Equity Scheme - Sectoral/ Thematic</t>
        </is>
      </c>
      <c r="AM344" s="19" t="n">
        <v>2.24</v>
      </c>
      <c r="AN344" s="19" t="n">
        <v>0</v>
      </c>
      <c r="AO344" s="19" t="n">
        <v>0.05</v>
      </c>
      <c r="AP344" s="19" t="n">
        <v>0.08</v>
      </c>
      <c r="AQ344" s="19" t="n">
        <v>2.37</v>
      </c>
      <c r="AR344" s="19" t="n">
        <v>0.51</v>
      </c>
      <c r="AS344" s="19" t="n">
        <v>0</v>
      </c>
      <c r="AT344" s="19" t="n">
        <v>0.05</v>
      </c>
      <c r="AU344" s="19" t="n">
        <v>0.08</v>
      </c>
      <c r="AV344" s="19" t="n">
        <v>0.64</v>
      </c>
      <c r="AW344" s="17" t="n">
        <v>-1.813290287866562</v>
      </c>
      <c r="AX344" t="inlineStr">
        <is>
          <t>7cr</t>
        </is>
      </c>
      <c r="AY344" s="26" t="n">
        <v>1.346100658156089</v>
      </c>
      <c r="AZ344" s="26" t="n">
        <v>1.453221061498769</v>
      </c>
      <c r="BA344" s="26" t="n">
        <v>0.5325067491240357</v>
      </c>
      <c r="BB344" s="28" t="n">
        <v>2</v>
      </c>
      <c r="BC344" t="n">
        <v>0</v>
      </c>
      <c r="BD344" t="n">
        <v>0</v>
      </c>
      <c r="BE344" t="n">
        <v>1</v>
      </c>
      <c r="BF344" t="n">
        <v>0</v>
      </c>
      <c r="BG344" t="n">
        <v>0</v>
      </c>
      <c r="BH344" t="n">
        <v>1</v>
      </c>
    </row>
    <row r="345">
      <c r="A345" s="19" t="inlineStr">
        <is>
          <t>Taurus Infrastructure Fund</t>
        </is>
      </c>
      <c r="B345" s="19" t="inlineStr">
        <is>
          <t>sectorial:thematic</t>
        </is>
      </c>
      <c r="C345" s="19" t="inlineStr">
        <is>
          <t>Nifty Infrastructure TRI</t>
        </is>
      </c>
      <c r="D345" s="19" t="inlineStr">
        <is>
          <t>Very High</t>
        </is>
      </c>
      <c r="E345" s="19" t="inlineStr">
        <is>
          <t>Very High</t>
        </is>
      </c>
      <c r="F345" s="20" t="n">
        <v>46023</v>
      </c>
      <c r="G345" s="19" t="n">
        <v>67.76000000000001</v>
      </c>
      <c r="H345" s="19" t="n">
        <v>72.89</v>
      </c>
      <c r="I345" s="19" t="n">
        <v>0.69070315</v>
      </c>
      <c r="J345" s="19" t="n">
        <v>-14.19547785</v>
      </c>
      <c r="K345" s="19" t="n">
        <v>14.886181</v>
      </c>
      <c r="L345" s="19" t="n">
        <v>19.491537</v>
      </c>
      <c r="M345" s="19" t="n">
        <v>-4.0261</v>
      </c>
      <c r="N345" s="19" t="n">
        <v>23.517637</v>
      </c>
      <c r="O345" s="19" t="n">
        <v>20.006742</v>
      </c>
      <c r="P345" s="19" t="n">
        <v>-2.650463999999999</v>
      </c>
      <c r="Q345" s="19" t="n">
        <v>22.657206</v>
      </c>
      <c r="R345" s="19" t="n">
        <v>15.394664</v>
      </c>
      <c r="S345" s="19" t="n">
        <v>0.6113949999999999</v>
      </c>
      <c r="T345" s="19" t="n">
        <v>14.783269</v>
      </c>
      <c r="U345" s="19" t="n">
        <v>14.23572</v>
      </c>
      <c r="V345" s="19" t="n">
        <v>9.300000000000001</v>
      </c>
      <c r="W345" s="19" t="n">
        <v>-1.945757206753627</v>
      </c>
      <c r="X345" s="19" t="n">
        <v>-2.021332620588979</v>
      </c>
      <c r="Y345" s="19" t="n">
        <v>0.04337271260067829</v>
      </c>
      <c r="Z345" s="19" t="n">
        <v>-0.02311842519191479</v>
      </c>
      <c r="AA345" s="19" t="n">
        <v>-0.4154777184251703</v>
      </c>
      <c r="AB345" s="19" t="n">
        <v>-0.4800767665227718</v>
      </c>
      <c r="AC345" s="19" t="n">
        <v>-0.2790077170939948</v>
      </c>
      <c r="AD345" s="19" t="n">
        <v>-0.3399653456636539</v>
      </c>
      <c r="AE345" s="19" t="n">
        <v>0.16260162</v>
      </c>
      <c r="AF345" s="19" t="n">
        <v>14.775778</v>
      </c>
      <c r="AG345" s="19" t="n">
        <v>18.913828</v>
      </c>
      <c r="AH345" s="19" t="n">
        <v>19.467482</v>
      </c>
      <c r="AI345" s="19" t="n">
        <v>8.025133</v>
      </c>
      <c r="AJ345" s="19" t="n">
        <v>12.025623</v>
      </c>
      <c r="AK345" s="19" t="n">
        <v>10.688959</v>
      </c>
      <c r="AL345" s="19" t="inlineStr">
        <is>
          <t>Equity Scheme - Sectoral/ Thematic</t>
        </is>
      </c>
      <c r="AM345" s="19" t="n">
        <v>2.22</v>
      </c>
      <c r="AN345" s="19" t="n">
        <v>0</v>
      </c>
      <c r="AO345" s="19" t="n">
        <v>0.05</v>
      </c>
      <c r="AP345" s="19" t="n">
        <v>0.15</v>
      </c>
      <c r="AQ345" s="19" t="n">
        <v>2.42</v>
      </c>
      <c r="AR345" s="19" t="n">
        <v>1.34</v>
      </c>
      <c r="AS345" s="19" t="n">
        <v>0</v>
      </c>
      <c r="AT345" s="19" t="n">
        <v>0.05</v>
      </c>
      <c r="AU345" s="19" t="n">
        <v>0.15</v>
      </c>
      <c r="AV345" s="19" t="n">
        <v>1.54</v>
      </c>
      <c r="AW345" s="17" t="n">
        <v>-0.1075268817204469</v>
      </c>
      <c r="AX345" t="inlineStr">
        <is>
          <t>0cr</t>
        </is>
      </c>
      <c r="AY345" s="26" t="n">
        <v>1.753610337801979</v>
      </c>
      <c r="AZ345" s="26" t="n">
        <v>1.453221061498769</v>
      </c>
      <c r="BA345" s="26" t="n">
        <v>0.6217886018309281</v>
      </c>
      <c r="BB345" s="28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</row>
    <row r="346">
      <c r="A346" s="19" t="inlineStr">
        <is>
          <t>Union Active Momentum Fund</t>
        </is>
      </c>
      <c r="B346" s="19" t="inlineStr">
        <is>
          <t>sectorial:thematic</t>
        </is>
      </c>
      <c r="C346" s="19" t="inlineStr">
        <is>
          <t>Nifty 500 TRI</t>
        </is>
      </c>
      <c r="D346" s="19" t="inlineStr">
        <is>
          <t>Very High</t>
        </is>
      </c>
      <c r="E346" s="19" t="inlineStr">
        <is>
          <t>Very High</t>
        </is>
      </c>
      <c r="F346" s="20" t="n">
        <v>46023</v>
      </c>
      <c r="G346" s="19" t="n">
        <v>8.65</v>
      </c>
      <c r="H346" s="19" t="n">
        <v>8.77</v>
      </c>
      <c r="I346" s="19" t="n">
        <v>-14.355469</v>
      </c>
      <c r="J346" s="19" t="n">
        <v>-21.7744973</v>
      </c>
      <c r="K346" s="19" t="n">
        <v>7.4190283</v>
      </c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>
        <v>-11.903242</v>
      </c>
      <c r="V346" s="19" t="n">
        <v>459.07</v>
      </c>
      <c r="W346" s="19" t="n">
        <v>-2.177117300732867</v>
      </c>
      <c r="X346" s="19" t="n">
        <v>-2.287458156206887</v>
      </c>
      <c r="Y346" s="19" t="n"/>
      <c r="Z346" s="19" t="n"/>
      <c r="AA346" s="19" t="n"/>
      <c r="AB346" s="19" t="n"/>
      <c r="AC346" s="19" t="n"/>
      <c r="AD346" s="19" t="n"/>
      <c r="AE346" s="19" t="n">
        <v>-15.44477</v>
      </c>
      <c r="AF346" s="19" t="n"/>
      <c r="AG346" s="19" t="n"/>
      <c r="AH346" s="19" t="n"/>
      <c r="AI346" s="19" t="n">
        <v>5.933326</v>
      </c>
      <c r="AJ346" s="19" t="n">
        <v>5.933326</v>
      </c>
      <c r="AK346" s="19" t="n">
        <v>-13.06749</v>
      </c>
      <c r="AL346" s="19" t="inlineStr">
        <is>
          <t>Equity Scheme - Sectoral/ Thematic</t>
        </is>
      </c>
      <c r="AM346" s="19" t="n">
        <v>2.25</v>
      </c>
      <c r="AN346" s="19" t="n">
        <v>0</v>
      </c>
      <c r="AO346" s="19" t="n">
        <v>0.05</v>
      </c>
      <c r="AP346" s="19" t="n">
        <v>0.12</v>
      </c>
      <c r="AQ346" s="19" t="n">
        <v>2.42</v>
      </c>
      <c r="AR346" s="19" t="n">
        <v>0.8</v>
      </c>
      <c r="AS346" s="19" t="n">
        <v>0</v>
      </c>
      <c r="AT346" s="19" t="n">
        <v>0.05</v>
      </c>
      <c r="AU346" s="19" t="n">
        <v>0.12</v>
      </c>
      <c r="AV346" s="19" t="n">
        <v>0.97</v>
      </c>
      <c r="AW346" s="17" t="n">
        <v>0.2940727993552231</v>
      </c>
      <c r="AX346" s="18" t="inlineStr">
        <is>
          <t>-1cr</t>
        </is>
      </c>
      <c r="AY346" s="26" t="n">
        <v>1.394191109774636</v>
      </c>
      <c r="AZ346" s="26" t="n">
        <v>1.453221061498769</v>
      </c>
      <c r="BA346" s="26" t="n">
        <v>0.7730510486844564</v>
      </c>
      <c r="BB346" s="28" t="n">
        <v>2</v>
      </c>
      <c r="BC346" t="n">
        <v>0</v>
      </c>
      <c r="BD346" t="n">
        <v>1</v>
      </c>
      <c r="BE346" t="n">
        <v>0</v>
      </c>
      <c r="BF346" t="n">
        <v>0</v>
      </c>
      <c r="BG346" t="n">
        <v>0</v>
      </c>
      <c r="BH346" t="n">
        <v>1</v>
      </c>
    </row>
    <row r="347">
      <c r="A347" s="19" t="inlineStr">
        <is>
          <t>Union Business Cycle Fund</t>
        </is>
      </c>
      <c r="B347" s="19" t="inlineStr">
        <is>
          <t>sectorial:thematic</t>
        </is>
      </c>
      <c r="C347" s="19" t="inlineStr">
        <is>
          <t>Nifty 500 TRI</t>
        </is>
      </c>
      <c r="D347" s="19" t="inlineStr">
        <is>
          <t>Very High</t>
        </is>
      </c>
      <c r="E347" s="19" t="inlineStr">
        <is>
          <t>Very High</t>
        </is>
      </c>
      <c r="F347" s="20" t="n">
        <v>46023</v>
      </c>
      <c r="G347" s="19" t="n">
        <v>11.41</v>
      </c>
      <c r="H347" s="19" t="n">
        <v>11.71</v>
      </c>
      <c r="I347" s="19" t="n">
        <v>2.8998241</v>
      </c>
      <c r="J347" s="19" t="n">
        <v>-4.5192042</v>
      </c>
      <c r="K347" s="19" t="n">
        <v>7.4190283</v>
      </c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>
        <v>9.022501</v>
      </c>
      <c r="V347" s="19" t="n">
        <v>538.84</v>
      </c>
      <c r="W347" s="19" t="n">
        <v>-1.326011037965996</v>
      </c>
      <c r="X347" s="19" t="n">
        <v>-1.81185415324711</v>
      </c>
      <c r="Y347" s="19" t="n"/>
      <c r="Z347" s="19" t="n"/>
      <c r="AA347" s="19" t="n"/>
      <c r="AB347" s="19" t="n"/>
      <c r="AC347" s="19" t="n"/>
      <c r="AD347" s="19" t="n"/>
      <c r="AE347" s="19" t="n">
        <v>1.3321491</v>
      </c>
      <c r="AF347" s="19" t="n"/>
      <c r="AG347" s="19" t="n"/>
      <c r="AH347" s="19" t="n"/>
      <c r="AI347" s="19" t="n">
        <v>10.197031</v>
      </c>
      <c r="AJ347" s="19" t="n">
        <v>10.197031</v>
      </c>
      <c r="AK347" s="19" t="n">
        <v>7.485088</v>
      </c>
      <c r="AL347" s="19" t="inlineStr">
        <is>
          <t>Equity Scheme - Sectoral/ Thematic</t>
        </is>
      </c>
      <c r="AM347" s="19" t="n">
        <v>2.24</v>
      </c>
      <c r="AN347" s="19" t="n">
        <v>0</v>
      </c>
      <c r="AO347" s="19" t="n">
        <v>0.05</v>
      </c>
      <c r="AP347" s="19" t="n">
        <v>0.21</v>
      </c>
      <c r="AQ347" s="19" t="n">
        <v>2.5</v>
      </c>
      <c r="AR347" s="19" t="n">
        <v>1.29</v>
      </c>
      <c r="AS347" s="19" t="n">
        <v>0</v>
      </c>
      <c r="AT347" s="19" t="n">
        <v>0.05</v>
      </c>
      <c r="AU347" s="19" t="n">
        <v>0.21</v>
      </c>
      <c r="AV347" s="19" t="n">
        <v>1.55</v>
      </c>
      <c r="AW347" s="17" t="n">
        <v>2.768910993987076</v>
      </c>
      <c r="AX347" s="18" t="inlineStr">
        <is>
          <t>-15cr</t>
        </is>
      </c>
      <c r="AY347" s="26" t="n">
        <v>1.053194283705486</v>
      </c>
      <c r="AZ347" s="26" t="n">
        <v>1.453221061498769</v>
      </c>
      <c r="BA347" s="26" t="n">
        <v>0.5626696000428314</v>
      </c>
      <c r="BB347" s="28" t="n">
        <v>2</v>
      </c>
      <c r="BC347" t="n">
        <v>0</v>
      </c>
      <c r="BD347" t="n">
        <v>1</v>
      </c>
      <c r="BE347" t="n">
        <v>0</v>
      </c>
      <c r="BF347" t="n">
        <v>0</v>
      </c>
      <c r="BG347" t="n">
        <v>0</v>
      </c>
      <c r="BH347" t="n">
        <v>1</v>
      </c>
    </row>
    <row r="348">
      <c r="A348" s="19" t="inlineStr">
        <is>
          <t>Union Innovation &amp; Opportunities Fund</t>
        </is>
      </c>
      <c r="B348" s="19" t="inlineStr">
        <is>
          <t>sectorial:thematic</t>
        </is>
      </c>
      <c r="C348" s="19" t="inlineStr">
        <is>
          <t>Nifty 500 TRI</t>
        </is>
      </c>
      <c r="D348" s="19" t="inlineStr">
        <is>
          <t>Very High</t>
        </is>
      </c>
      <c r="E348" s="19" t="inlineStr">
        <is>
          <t>Very High</t>
        </is>
      </c>
      <c r="F348" s="20" t="n">
        <v>46023</v>
      </c>
      <c r="G348" s="19" t="n">
        <v>14.26</v>
      </c>
      <c r="H348" s="19" t="n">
        <v>14.76</v>
      </c>
      <c r="I348" s="19" t="n">
        <v>-2.8947368</v>
      </c>
      <c r="J348" s="19" t="n">
        <v>-10.3137651</v>
      </c>
      <c r="K348" s="19" t="n">
        <v>7.4190283</v>
      </c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>
        <v>18.243946</v>
      </c>
      <c r="V348" s="19" t="n">
        <v>1117.66</v>
      </c>
      <c r="W348" s="19" t="n">
        <v>-1.023178438629395</v>
      </c>
      <c r="X348" s="19" t="n">
        <v>-1.179617846833959</v>
      </c>
      <c r="Y348" s="19" t="n"/>
      <c r="Z348" s="19" t="n"/>
      <c r="AA348" s="19" t="n"/>
      <c r="AB348" s="19" t="n"/>
      <c r="AC348" s="19" t="n"/>
      <c r="AD348" s="19" t="n"/>
      <c r="AE348" s="19" t="n">
        <v>-4.295302</v>
      </c>
      <c r="AF348" s="19" t="n"/>
      <c r="AG348" s="19" t="n"/>
      <c r="AH348" s="19" t="n"/>
      <c r="AI348" s="19" t="n">
        <v>16.029776</v>
      </c>
      <c r="AJ348" s="19" t="n">
        <v>16.029776</v>
      </c>
      <c r="AK348" s="19" t="n">
        <v>16.502924</v>
      </c>
      <c r="AL348" s="19" t="inlineStr">
        <is>
          <t>Equity Scheme - Sectoral/ Thematic</t>
        </is>
      </c>
      <c r="AM348" s="19" t="n">
        <v>2.05</v>
      </c>
      <c r="AN348" s="19" t="n">
        <v>0</v>
      </c>
      <c r="AO348" s="19" t="n">
        <v>0.05</v>
      </c>
      <c r="AP348" s="19" t="n">
        <v>0.11</v>
      </c>
      <c r="AQ348" s="19" t="n">
        <v>2.21</v>
      </c>
      <c r="AR348" s="19" t="n">
        <v>0.68</v>
      </c>
      <c r="AS348" s="19" t="n">
        <v>0</v>
      </c>
      <c r="AT348" s="19" t="n">
        <v>0.05</v>
      </c>
      <c r="AU348" s="19" t="n">
        <v>0.11</v>
      </c>
      <c r="AV348" s="19" t="n">
        <v>0.84</v>
      </c>
      <c r="AW348" s="17" t="n">
        <v>0.7238337240305565</v>
      </c>
      <c r="AX348" s="18" t="inlineStr">
        <is>
          <t>-8cr</t>
        </is>
      </c>
      <c r="AY348" s="26" t="n">
        <v>1.709224992543662</v>
      </c>
      <c r="AZ348" s="26" t="n">
        <v>1.453221061498769</v>
      </c>
      <c r="BA348" s="26" t="n">
        <v>0.7378390466714175</v>
      </c>
      <c r="BB348" s="28" t="n">
        <v>2</v>
      </c>
      <c r="BC348" t="n">
        <v>0</v>
      </c>
      <c r="BD348" t="n">
        <v>1</v>
      </c>
      <c r="BE348" t="n">
        <v>1</v>
      </c>
      <c r="BF348" t="n">
        <v>0</v>
      </c>
      <c r="BG348" t="n">
        <v>0</v>
      </c>
      <c r="BH348" t="n">
        <v>0</v>
      </c>
    </row>
    <row r="349">
      <c r="A349" s="19" t="inlineStr">
        <is>
          <t>WhiteOak Capital Banking &amp; Financial Services Fund</t>
        </is>
      </c>
      <c r="B349" s="19" t="inlineStr">
        <is>
          <t>sectorial:thematic</t>
        </is>
      </c>
      <c r="C349" s="19" t="inlineStr">
        <is>
          <t>Nifty Financial Services TRI</t>
        </is>
      </c>
      <c r="D349" s="19" t="inlineStr">
        <is>
          <t>Very High</t>
        </is>
      </c>
      <c r="E349" s="19" t="inlineStr">
        <is>
          <t>Very High</t>
        </is>
      </c>
      <c r="F349" s="20" t="n">
        <v>46023</v>
      </c>
      <c r="G349" s="19" t="n">
        <v>13.04</v>
      </c>
      <c r="H349" s="19" t="n">
        <v>13.475</v>
      </c>
      <c r="I349" s="19" t="n">
        <v>15.556128</v>
      </c>
      <c r="J349" s="19" t="n">
        <v>-2.734092000000002</v>
      </c>
      <c r="K349" s="19" t="n">
        <v>18.29022</v>
      </c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>
        <v>16.956915</v>
      </c>
      <c r="V349" s="19" t="n">
        <v>569.6</v>
      </c>
      <c r="W349" s="19" t="n">
        <v>-0.5672790187182336</v>
      </c>
      <c r="X349" s="19" t="n">
        <v>-0.9853099277194437</v>
      </c>
      <c r="Y349" s="19" t="n"/>
      <c r="Z349" s="19" t="n"/>
      <c r="AA349" s="19" t="n"/>
      <c r="AB349" s="19" t="n"/>
      <c r="AC349" s="19" t="n"/>
      <c r="AD349" s="19" t="n"/>
      <c r="AE349" s="19" t="n">
        <v>13.58885</v>
      </c>
      <c r="AF349" s="19" t="n"/>
      <c r="AG349" s="19" t="n"/>
      <c r="AH349" s="19" t="n"/>
      <c r="AI349" s="19" t="n">
        <v>18.675743</v>
      </c>
      <c r="AJ349" s="19" t="n">
        <v>18.675743</v>
      </c>
      <c r="AK349" s="19" t="n">
        <v>14.958601</v>
      </c>
      <c r="AL349" s="19" t="inlineStr">
        <is>
          <t>Equity Scheme - Sectoral/ Thematic</t>
        </is>
      </c>
      <c r="AM349" s="19" t="n">
        <v>2.22</v>
      </c>
      <c r="AN349" s="19" t="n">
        <v>0</v>
      </c>
      <c r="AO349" s="19" t="n">
        <v>0.05</v>
      </c>
      <c r="AP349" s="19" t="n">
        <v>0.09</v>
      </c>
      <c r="AQ349" s="19" t="n">
        <v>2.36</v>
      </c>
      <c r="AR349" s="19" t="n">
        <v>0.53</v>
      </c>
      <c r="AS349" s="19" t="n">
        <v>0</v>
      </c>
      <c r="AT349" s="19" t="n">
        <v>0.05</v>
      </c>
      <c r="AU349" s="19" t="n">
        <v>0.09</v>
      </c>
      <c r="AV349" s="19" t="n">
        <v>0.67</v>
      </c>
      <c r="AW349" s="17" t="n">
        <v>-4.162570224719107</v>
      </c>
      <c r="AX349" t="inlineStr">
        <is>
          <t>24cr</t>
        </is>
      </c>
      <c r="AY349" s="26" t="n">
        <v>1.538086815260733</v>
      </c>
      <c r="AZ349" s="26" t="n">
        <v>1.453221061498769</v>
      </c>
      <c r="BA349" s="26" t="n">
        <v>0.5241248439161786</v>
      </c>
      <c r="BB349" s="28" t="n">
        <v>2</v>
      </c>
      <c r="BC349" t="n">
        <v>1</v>
      </c>
      <c r="BD349" t="n">
        <v>0</v>
      </c>
      <c r="BE349" t="n">
        <v>1</v>
      </c>
      <c r="BF349" t="n">
        <v>0</v>
      </c>
      <c r="BG349" t="n">
        <v>0</v>
      </c>
      <c r="BH349" t="n">
        <v>0</v>
      </c>
    </row>
    <row r="350">
      <c r="A350" s="19" t="inlineStr">
        <is>
          <t>WhiteOak Capital Digital Bharat Fund</t>
        </is>
      </c>
      <c r="B350" s="19" t="inlineStr">
        <is>
          <t>sectorial:thematic</t>
        </is>
      </c>
      <c r="C350" s="19" t="inlineStr">
        <is>
          <t>BSE Teck TRI</t>
        </is>
      </c>
      <c r="D350" s="19" t="inlineStr">
        <is>
          <t>Very High</t>
        </is>
      </c>
      <c r="E350" s="19" t="inlineStr">
        <is>
          <t>Very High</t>
        </is>
      </c>
      <c r="F350" s="20" t="n">
        <v>46023</v>
      </c>
      <c r="G350" s="19" t="n">
        <v>10.69</v>
      </c>
      <c r="H350" s="19" t="n">
        <v>10.92</v>
      </c>
      <c r="I350" s="19" t="n">
        <v>1.2141997</v>
      </c>
      <c r="J350" s="19" t="n">
        <v>3.8645057</v>
      </c>
      <c r="K350" s="19" t="n">
        <v>-2.650306</v>
      </c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>
        <v>7.451103</v>
      </c>
      <c r="V350" s="19" t="n">
        <v>460.34</v>
      </c>
      <c r="W350" s="19" t="n">
        <v>0.3553690101021179</v>
      </c>
      <c r="X350" s="19" t="n">
        <v>0.2138597805447074</v>
      </c>
      <c r="Y350" s="19" t="n"/>
      <c r="Z350" s="19" t="n"/>
      <c r="AA350" s="19" t="n"/>
      <c r="AB350" s="19" t="n"/>
      <c r="AC350" s="19" t="n"/>
      <c r="AD350" s="19" t="n"/>
      <c r="AE350" s="19" t="n">
        <v>-0.5211241</v>
      </c>
      <c r="AF350" s="19" t="n"/>
      <c r="AG350" s="19" t="n"/>
      <c r="AH350" s="19" t="n"/>
      <c r="AI350" s="19" t="n">
        <v>-2.7442431</v>
      </c>
      <c r="AJ350" s="19" t="n">
        <v>-2.7442431</v>
      </c>
      <c r="AK350" s="19" t="n">
        <v>5.5995054</v>
      </c>
      <c r="AL350" s="19" t="inlineStr">
        <is>
          <t>Equity Scheme - Sectoral/ Thematic</t>
        </is>
      </c>
      <c r="AM350" s="19" t="n">
        <v>2.25</v>
      </c>
      <c r="AN350" s="19" t="n">
        <v>0</v>
      </c>
      <c r="AO350" s="19" t="n">
        <v>0.05</v>
      </c>
      <c r="AP350" s="19" t="n">
        <v>0.09</v>
      </c>
      <c r="AQ350" s="19" t="n">
        <v>2.39</v>
      </c>
      <c r="AR350" s="19" t="n">
        <v>0.51</v>
      </c>
      <c r="AS350" s="19" t="n">
        <v>0</v>
      </c>
      <c r="AT350" s="19" t="n">
        <v>0.05</v>
      </c>
      <c r="AU350" s="19" t="n">
        <v>0.09</v>
      </c>
      <c r="AV350" s="19" t="n">
        <v>0.65</v>
      </c>
      <c r="AW350" s="17" t="n">
        <v>-4.381544076117644</v>
      </c>
      <c r="AX350" t="inlineStr">
        <is>
          <t>20cr</t>
        </is>
      </c>
      <c r="AY350" s="26" t="n">
        <v>2.517393507538583</v>
      </c>
      <c r="AZ350" s="26" t="n">
        <v>1.453221061498769</v>
      </c>
      <c r="BA350" s="26" t="n">
        <v>0.7894185760530467</v>
      </c>
      <c r="BB350" s="28" t="n">
        <v>2</v>
      </c>
      <c r="BC350" t="n">
        <v>0</v>
      </c>
      <c r="BD350" t="n">
        <v>0</v>
      </c>
      <c r="BE350" t="n">
        <v>1</v>
      </c>
      <c r="BF350" t="n">
        <v>1</v>
      </c>
      <c r="BG350" t="n">
        <v>0</v>
      </c>
      <c r="BH350" t="n">
        <v>0</v>
      </c>
    </row>
    <row r="351">
      <c r="A351" s="19" t="inlineStr">
        <is>
          <t>WhiteOak Capital ESG Best-In-Class Strategy Fund</t>
        </is>
      </c>
      <c r="B351" s="19" t="inlineStr">
        <is>
          <t>sectorial:thematic</t>
        </is>
      </c>
      <c r="C351" s="19" t="inlineStr">
        <is>
          <t>Nifty 100 ESG TRI</t>
        </is>
      </c>
      <c r="D351" s="19" t="inlineStr">
        <is>
          <t>Very High</t>
        </is>
      </c>
      <c r="E351" s="19" t="inlineStr">
        <is>
          <t>Very High</t>
        </is>
      </c>
      <c r="F351" s="20" t="n">
        <v>46023</v>
      </c>
      <c r="G351" s="19" t="n">
        <v>10.648</v>
      </c>
      <c r="H351" s="19" t="n">
        <v>10.869</v>
      </c>
      <c r="I351" s="19" t="n">
        <v>6.5483775</v>
      </c>
      <c r="J351" s="19" t="n">
        <v>-5.2383105</v>
      </c>
      <c r="K351" s="19" t="n">
        <v>11.786688</v>
      </c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>
        <v>7.364972</v>
      </c>
      <c r="V351" s="19" t="n">
        <v>68.22</v>
      </c>
      <c r="W351" s="19" t="n">
        <v>-1.218924380933249</v>
      </c>
      <c r="X351" s="19" t="n">
        <v>-1.651332663632943</v>
      </c>
      <c r="Y351" s="19" t="n"/>
      <c r="Z351" s="19" t="n"/>
      <c r="AA351" s="19" t="n"/>
      <c r="AB351" s="19" t="n"/>
      <c r="AC351" s="19" t="n"/>
      <c r="AD351" s="19" t="n"/>
      <c r="AE351" s="19" t="n">
        <v>4.7103944</v>
      </c>
      <c r="AF351" s="19" t="n"/>
      <c r="AG351" s="19" t="n"/>
      <c r="AH351" s="19" t="n"/>
      <c r="AI351" s="19" t="n">
        <v>7.765659</v>
      </c>
      <c r="AJ351" s="19" t="n">
        <v>7.765659</v>
      </c>
      <c r="AK351" s="19" t="n">
        <v>5.5004444</v>
      </c>
      <c r="AL351" s="19" t="inlineStr">
        <is>
          <t>Equity Scheme - Sectoral/ Thematic</t>
        </is>
      </c>
      <c r="AM351" s="19" t="n">
        <v>2.25</v>
      </c>
      <c r="AN351" s="19" t="n">
        <v>0</v>
      </c>
      <c r="AO351" s="19" t="n">
        <v>0.05</v>
      </c>
      <c r="AP351" s="19" t="n">
        <v>0.04</v>
      </c>
      <c r="AQ351" s="19" t="n">
        <v>2.34</v>
      </c>
      <c r="AR351" s="19" t="n">
        <v>0.54</v>
      </c>
      <c r="AS351" s="19" t="n">
        <v>0</v>
      </c>
      <c r="AT351" s="19" t="n">
        <v>0.05</v>
      </c>
      <c r="AU351" s="19" t="n">
        <v>0.04</v>
      </c>
      <c r="AV351" s="19" t="n">
        <v>0.63</v>
      </c>
      <c r="AW351" s="17" t="n">
        <v>2.389328642626789</v>
      </c>
      <c r="AX351" s="18" t="inlineStr">
        <is>
          <t>-2cr</t>
        </is>
      </c>
      <c r="AY351" s="26" t="n">
        <v>1.325353334711508</v>
      </c>
      <c r="AZ351" s="26" t="n">
        <v>1.453221061498769</v>
      </c>
      <c r="BA351" s="26" t="n">
        <v>0.4941129072162108</v>
      </c>
      <c r="BB351" s="28" t="n">
        <v>4</v>
      </c>
      <c r="BC351" t="n">
        <v>1</v>
      </c>
      <c r="BD351" t="n">
        <v>1</v>
      </c>
      <c r="BE351" t="n">
        <v>1</v>
      </c>
      <c r="BF351" t="n">
        <v>0</v>
      </c>
      <c r="BG351" t="n">
        <v>0</v>
      </c>
      <c r="BH351" t="n">
        <v>1</v>
      </c>
    </row>
    <row r="352">
      <c r="A352" s="19" t="inlineStr">
        <is>
          <t>WhiteOak Capital Pharma and Healthcare Fund</t>
        </is>
      </c>
      <c r="B352" s="19" t="inlineStr">
        <is>
          <t>sectorial:thematic</t>
        </is>
      </c>
      <c r="C352" s="19" t="inlineStr">
        <is>
          <t>BSE Healthcare TRI</t>
        </is>
      </c>
      <c r="D352" s="19" t="inlineStr">
        <is>
          <t>Very High</t>
        </is>
      </c>
      <c r="E352" s="19" t="inlineStr">
        <is>
          <t>Very High</t>
        </is>
      </c>
      <c r="F352" s="20" t="n">
        <v>46023</v>
      </c>
      <c r="G352" s="19" t="n">
        <v>13.744</v>
      </c>
      <c r="H352" s="19" t="n">
        <v>14.209</v>
      </c>
      <c r="I352" s="19" t="n">
        <v>1.442136</v>
      </c>
      <c r="J352" s="19" t="n">
        <v>4.719931</v>
      </c>
      <c r="K352" s="19" t="n">
        <v>-3.277795</v>
      </c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>
        <v>20.260578</v>
      </c>
      <c r="V352" s="19" t="n">
        <v>508.92</v>
      </c>
      <c r="W352" s="19" t="n">
        <v>1.222748281352454</v>
      </c>
      <c r="X352" s="19" t="n">
        <v>0.7818899320655524</v>
      </c>
      <c r="Y352" s="19" t="n"/>
      <c r="Z352" s="19" t="n"/>
      <c r="AA352" s="19" t="n"/>
      <c r="AB352" s="19" t="n"/>
      <c r="AC352" s="19" t="n"/>
      <c r="AD352" s="19" t="n"/>
      <c r="AE352" s="19" t="n">
        <v>-0.29742473</v>
      </c>
      <c r="AF352" s="19" t="n"/>
      <c r="AG352" s="19" t="n"/>
      <c r="AH352" s="19" t="n"/>
      <c r="AI352" s="19" t="n">
        <v>13.610291</v>
      </c>
      <c r="AJ352" s="19" t="n">
        <v>13.610291</v>
      </c>
      <c r="AK352" s="19" t="n">
        <v>18.17735</v>
      </c>
      <c r="AL352" s="19" t="inlineStr">
        <is>
          <t>Equity Scheme - Sectoral/ Thematic</t>
        </is>
      </c>
      <c r="AM352" s="19" t="n">
        <v>2.25</v>
      </c>
      <c r="AN352" s="19" t="n">
        <v>0</v>
      </c>
      <c r="AO352" s="19" t="n">
        <v>0.05</v>
      </c>
      <c r="AP352" s="19" t="n">
        <v>0.08</v>
      </c>
      <c r="AQ352" s="19" t="n">
        <v>2.38</v>
      </c>
      <c r="AR352" s="19" t="n">
        <v>0.54</v>
      </c>
      <c r="AS352" s="19" t="n">
        <v>0</v>
      </c>
      <c r="AT352" s="19" t="n">
        <v>0.05</v>
      </c>
      <c r="AU352" s="19" t="n">
        <v>0.08</v>
      </c>
      <c r="AV352" s="19" t="n">
        <v>0.67</v>
      </c>
      <c r="AW352" s="17" t="n">
        <v>-2.230213000078602</v>
      </c>
      <c r="AX352" t="inlineStr">
        <is>
          <t>11cr</t>
        </is>
      </c>
      <c r="AZ352" s="26" t="n">
        <v>1.453221061498769</v>
      </c>
      <c r="BB352" s="28" t="n">
        <v>3</v>
      </c>
      <c r="BC352" t="n">
        <v>0</v>
      </c>
      <c r="BD352" t="n">
        <v>0</v>
      </c>
      <c r="BE352" t="n">
        <v>1</v>
      </c>
      <c r="BF352" t="n">
        <v>1</v>
      </c>
      <c r="BG352" t="n">
        <v>1</v>
      </c>
      <c r="BH352" t="n">
        <v>0</v>
      </c>
    </row>
    <row r="353" ht="16" customHeight="1">
      <c r="A353" s="19" t="inlineStr">
        <is>
          <t>WhiteOak Capital Quality Equity Fund</t>
        </is>
      </c>
      <c r="B353" s="19" t="inlineStr">
        <is>
          <t>sectorial:thematic</t>
        </is>
      </c>
      <c r="C353" s="19" t="inlineStr">
        <is>
          <t>BSE Quality TRI</t>
        </is>
      </c>
      <c r="D353" s="19" t="inlineStr">
        <is>
          <t>Very High</t>
        </is>
      </c>
      <c r="E353" s="19" t="inlineStr">
        <is>
          <t>Very High</t>
        </is>
      </c>
      <c r="F353" s="20" t="n">
        <v>46023</v>
      </c>
      <c r="G353" s="19" t="n">
        <v>10.662</v>
      </c>
      <c r="H353" s="19" t="n">
        <v>10.835</v>
      </c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>
        <v>672.6900000000001</v>
      </c>
      <c r="W353" s="19" t="n"/>
      <c r="X353" s="19" t="n"/>
      <c r="Y353" s="19" t="n"/>
      <c r="Z353" s="19" t="n"/>
      <c r="AA353" s="19" t="n"/>
      <c r="AB353" s="19" t="n"/>
      <c r="AC353" s="19" t="n"/>
      <c r="AD353" s="19" t="n"/>
      <c r="AE353" s="19" t="n"/>
      <c r="AF353" s="19" t="n"/>
      <c r="AG353" s="19" t="n"/>
      <c r="AH353" s="19" t="n"/>
      <c r="AI353" s="19" t="n"/>
      <c r="AJ353" s="19" t="n"/>
      <c r="AK353" s="19" t="n"/>
      <c r="AL353" s="19" t="inlineStr">
        <is>
          <t>Equity Scheme - Sectoral/ Thematic</t>
        </is>
      </c>
      <c r="AM353" s="19" t="n">
        <v>2.2</v>
      </c>
      <c r="AN353" s="19" t="n">
        <v>0</v>
      </c>
      <c r="AO353" s="19" t="n">
        <v>0.05</v>
      </c>
      <c r="AP353" s="19" t="n">
        <v>0.1</v>
      </c>
      <c r="AQ353" s="19" t="n">
        <v>2.35</v>
      </c>
      <c r="AR353" s="19" t="n">
        <v>0.55</v>
      </c>
      <c r="AS353" s="19" t="n">
        <v>0</v>
      </c>
      <c r="AT353" s="19" t="n">
        <v>0.05</v>
      </c>
      <c r="AU353" s="19" t="n">
        <v>0.1</v>
      </c>
      <c r="AV353" s="19" t="n">
        <v>0.7</v>
      </c>
      <c r="AW353" s="17" t="n">
        <v>-0.8190994365904212</v>
      </c>
      <c r="AX353" t="inlineStr">
        <is>
          <t>6cr</t>
        </is>
      </c>
      <c r="AY353" s="26" t="n">
        <v>1.220977074366691</v>
      </c>
      <c r="AZ353" s="26" t="n">
        <v>1.453221061498769</v>
      </c>
      <c r="BA353" s="26" t="n">
        <v>0.4531807365767404</v>
      </c>
      <c r="BB353" s="28" t="n">
        <v>2</v>
      </c>
      <c r="BC353" t="n">
        <v>0</v>
      </c>
      <c r="BD353" t="n">
        <v>0</v>
      </c>
      <c r="BE353" t="n">
        <v>1</v>
      </c>
      <c r="BF353" t="n">
        <v>0</v>
      </c>
      <c r="BG353" t="n">
        <v>0</v>
      </c>
      <c r="BH353" t="n">
        <v>1</v>
      </c>
    </row>
    <row r="354" ht="16" customHeight="1">
      <c r="A354" s="15" t="inlineStr">
        <is>
          <t>category_avg_st</t>
        </is>
      </c>
      <c r="B354" s="15" t="n"/>
      <c r="C354" s="15" t="n"/>
      <c r="D354" s="15" t="n"/>
      <c r="E354" s="15" t="n"/>
      <c r="F354" s="16" t="n"/>
      <c r="G354" s="15" t="n"/>
      <c r="H354" s="15" t="n"/>
      <c r="I354" s="27" t="n">
        <v>4.129878587818792</v>
      </c>
      <c r="K354" s="27" t="n">
        <v>8.070477586394558</v>
      </c>
      <c r="L354" s="27" t="n">
        <v>20.03681665789474</v>
      </c>
      <c r="N354" s="27" t="n">
        <v>18.64862156081081</v>
      </c>
      <c r="O354" s="27" t="n">
        <v>19.475398690625</v>
      </c>
      <c r="Q354" s="27" t="n">
        <v>17.82190476612903</v>
      </c>
      <c r="R354" s="27" t="n">
        <v>15.69454195121951</v>
      </c>
      <c r="T354" s="27" t="n">
        <v>14.63893771794872</v>
      </c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>
        <f>AVERAGE(AA173:AA353)</f>
        <v/>
      </c>
      <c r="AF354" s="15">
        <f>AVERAGE(AB173:AB353)</f>
        <v/>
      </c>
      <c r="AG354" s="15">
        <f>AVERAGE(AC173:AC353)</f>
        <v/>
      </c>
      <c r="AH354" s="15">
        <f>AVERAGE(AD173:AD353)</f>
        <v/>
      </c>
      <c r="AI354" s="15">
        <f>AVERAGE(AE173:AE353)</f>
        <v/>
      </c>
      <c r="AJ354" s="15" t="n"/>
      <c r="AK354" s="15" t="n"/>
      <c r="AL354" s="15" t="n"/>
      <c r="AM354" s="15" t="n"/>
      <c r="AN354" s="15" t="n"/>
      <c r="AO354" s="15" t="n"/>
      <c r="AP354" s="15" t="n"/>
      <c r="AQ354" s="15" t="n"/>
      <c r="AR354" s="15" t="n"/>
      <c r="AS354" s="15" t="n"/>
      <c r="AT354" s="15" t="n"/>
      <c r="AU354" s="15" t="n"/>
      <c r="AV354" s="25" t="n">
        <v>0.8885801104972375</v>
      </c>
      <c r="AZ354" s="26" t="n">
        <v>1.453220621115246</v>
      </c>
    </row>
    <row r="355">
      <c r="A355" s="21" t="inlineStr">
        <is>
          <t>Axis Small Cap Fund</t>
        </is>
      </c>
      <c r="B355" s="21" t="inlineStr">
        <is>
          <t>small cap</t>
        </is>
      </c>
      <c r="C355" s="21" t="inlineStr">
        <is>
          <t>Nifty Smallcap 250 TRI</t>
        </is>
      </c>
      <c r="D355" s="21" t="inlineStr">
        <is>
          <t>Very High</t>
        </is>
      </c>
      <c r="E355" s="21" t="inlineStr">
        <is>
          <t>Very High</t>
        </is>
      </c>
      <c r="F355" s="22" t="n">
        <v>46023</v>
      </c>
      <c r="G355" s="21" t="n">
        <v>104.9</v>
      </c>
      <c r="H355" s="21" t="n">
        <v>121.78</v>
      </c>
      <c r="I355" s="21" t="n">
        <v>-1.4804628</v>
      </c>
      <c r="J355" s="21" t="n">
        <v>4.918066700000001</v>
      </c>
      <c r="K355" s="21" t="n">
        <v>-6.3985295</v>
      </c>
      <c r="L355" s="21" t="n">
        <v>19.276983</v>
      </c>
      <c r="M355" s="21" t="n">
        <v>-2.098953999999999</v>
      </c>
      <c r="N355" s="21" t="n">
        <v>21.375937</v>
      </c>
      <c r="O355" s="21" t="n">
        <v>23.069431</v>
      </c>
      <c r="P355" s="21" t="n">
        <v>0.07930900000000207</v>
      </c>
      <c r="Q355" s="21" t="n">
        <v>22.990122</v>
      </c>
      <c r="R355" s="21" t="n">
        <v>19.176437</v>
      </c>
      <c r="S355" s="21" t="n">
        <v>4.523407000000001</v>
      </c>
      <c r="T355" s="21" t="n">
        <v>14.65303</v>
      </c>
      <c r="U355" s="21" t="n">
        <v>22.949617</v>
      </c>
      <c r="V355" s="21" t="n">
        <v>26542.4</v>
      </c>
      <c r="W355" s="21" t="n">
        <v>0.8070258390908407</v>
      </c>
      <c r="X355" s="21" t="n">
        <v>0.6193597124105891</v>
      </c>
      <c r="Y355" s="21" t="n">
        <v>0.3753958490300736</v>
      </c>
      <c r="Z355" s="21" t="n">
        <v>0.2228547382230994</v>
      </c>
      <c r="AA355" s="21" t="n">
        <v>-0.3812916702002733</v>
      </c>
      <c r="AB355" s="21" t="n">
        <v>-0.554391453528982</v>
      </c>
      <c r="AC355" s="21" t="n">
        <v>-0.09062482262409416</v>
      </c>
      <c r="AD355" s="21" t="n">
        <v>-0.2687256623401977</v>
      </c>
      <c r="AE355" s="21" t="n">
        <v>-2.5002325</v>
      </c>
      <c r="AF355" s="21" t="n">
        <v>17.689638</v>
      </c>
      <c r="AG355" s="21" t="n">
        <v>17.986826</v>
      </c>
      <c r="AH355" s="21" t="n">
        <v>21.534996</v>
      </c>
      <c r="AI355" s="21" t="n">
        <v>18.901632</v>
      </c>
      <c r="AJ355" s="21" t="n">
        <v>18.901632</v>
      </c>
      <c r="AK355" s="21" t="n">
        <v>21.442629</v>
      </c>
      <c r="AL355" s="21" t="inlineStr">
        <is>
          <t>Equity Scheme - Small Cap Fund</t>
        </is>
      </c>
      <c r="AM355" s="21" t="n">
        <v>1.48</v>
      </c>
      <c r="AN355" s="21" t="n">
        <v>0</v>
      </c>
      <c r="AO355" s="21" t="n">
        <v>0.05</v>
      </c>
      <c r="AP355" s="21" t="n">
        <v>0.08</v>
      </c>
      <c r="AQ355" s="21" t="n">
        <v>1.61</v>
      </c>
      <c r="AR355" s="21" t="n">
        <v>0.46</v>
      </c>
      <c r="AS355" s="21" t="n">
        <v>0</v>
      </c>
      <c r="AT355" s="21" t="n">
        <v>0.05</v>
      </c>
      <c r="AU355" s="21" t="n">
        <v>0.08</v>
      </c>
      <c r="AV355" s="21" t="n">
        <v>0.59</v>
      </c>
      <c r="AW355" s="17" t="n">
        <v>0.8566293929712421</v>
      </c>
      <c r="AX355" s="18" t="inlineStr">
        <is>
          <t>-227cr</t>
        </is>
      </c>
      <c r="AY355" s="26" t="n">
        <v>1.400120011663137</v>
      </c>
      <c r="AZ355" s="26" t="n">
        <v>1.651840646370005</v>
      </c>
      <c r="BA355" s="26" t="n">
        <v>0.6254034714089539</v>
      </c>
      <c r="BB355" s="28" t="n">
        <v>5</v>
      </c>
      <c r="BC355" t="n">
        <v>1</v>
      </c>
      <c r="BD355" t="n">
        <v>1</v>
      </c>
      <c r="BE355" t="n">
        <v>1</v>
      </c>
      <c r="BF355" t="n">
        <v>1</v>
      </c>
      <c r="BG355" t="n">
        <v>0</v>
      </c>
      <c r="BH355" t="n">
        <v>1</v>
      </c>
    </row>
    <row r="356">
      <c r="A356" s="21" t="inlineStr">
        <is>
          <t>Bajaj Finserv Small Cap Fund</t>
        </is>
      </c>
      <c r="B356" s="21" t="inlineStr">
        <is>
          <t>small cap</t>
        </is>
      </c>
      <c r="C356" s="21" t="inlineStr">
        <is>
          <t>BSE 250 Smallcap TRI</t>
        </is>
      </c>
      <c r="D356" s="21" t="inlineStr">
        <is>
          <t>Very High</t>
        </is>
      </c>
      <c r="E356" s="21" t="inlineStr">
        <is>
          <t>Very High</t>
        </is>
      </c>
      <c r="F356" s="22" t="n">
        <v>46023</v>
      </c>
      <c r="G356" s="21" t="n">
        <v>9.609999999999999</v>
      </c>
      <c r="H356" s="21" t="n">
        <v>9.682</v>
      </c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>
        <v>1580.57</v>
      </c>
      <c r="W356" s="21" t="n"/>
      <c r="X356" s="21" t="n"/>
      <c r="Y356" s="21" t="n"/>
      <c r="Z356" s="21" t="n"/>
      <c r="AA356" s="21" t="n"/>
      <c r="AB356" s="21" t="n"/>
      <c r="AC356" s="21" t="n"/>
      <c r="AD356" s="21" t="n"/>
      <c r="AE356" s="21" t="n"/>
      <c r="AF356" s="21" t="n"/>
      <c r="AG356" s="21" t="n"/>
      <c r="AH356" s="21" t="n"/>
      <c r="AI356" s="21" t="n"/>
      <c r="AJ356" s="21" t="n"/>
      <c r="AK356" s="21" t="n"/>
      <c r="AL356" s="21" t="inlineStr">
        <is>
          <t>Equity Scheme - Small Cap Fund</t>
        </is>
      </c>
      <c r="AM356" s="21" t="n">
        <v>1.95</v>
      </c>
      <c r="AN356" s="21" t="n">
        <v>0</v>
      </c>
      <c r="AO356" s="21" t="n">
        <v>0.05</v>
      </c>
      <c r="AP356" s="21" t="n">
        <v>0.05</v>
      </c>
      <c r="AQ356" s="21" t="n">
        <v>2.05</v>
      </c>
      <c r="AR356" s="21" t="n">
        <v>0.45</v>
      </c>
      <c r="AS356" s="21" t="n">
        <v>0</v>
      </c>
      <c r="AT356" s="21" t="n">
        <v>0.05</v>
      </c>
      <c r="AU356" s="21" t="n">
        <v>0.05</v>
      </c>
      <c r="AV356" s="21" t="n">
        <v>0.55</v>
      </c>
      <c r="AW356" s="17" t="n">
        <v>-3.499370480269773</v>
      </c>
      <c r="AX356" t="inlineStr">
        <is>
          <t>55cr</t>
        </is>
      </c>
      <c r="AY356" s="26" t="n">
        <v>1.592757743932488</v>
      </c>
      <c r="AZ356" s="26" t="n">
        <v>1.651840646370005</v>
      </c>
      <c r="BA356" s="26" t="n">
        <v>0.6776055050599862</v>
      </c>
      <c r="BB356" s="28" t="n">
        <v>2</v>
      </c>
      <c r="BC356" t="n">
        <v>0</v>
      </c>
      <c r="BD356" t="n">
        <v>0</v>
      </c>
      <c r="BE356" t="n">
        <v>1</v>
      </c>
      <c r="BF356" t="n">
        <v>0</v>
      </c>
      <c r="BG356" t="n">
        <v>0</v>
      </c>
      <c r="BH356" t="n">
        <v>1</v>
      </c>
    </row>
    <row r="357">
      <c r="A357" s="21" t="inlineStr">
        <is>
          <t>Bank of India Small Cap Fund</t>
        </is>
      </c>
      <c r="B357" s="21" t="inlineStr">
        <is>
          <t>small cap</t>
        </is>
      </c>
      <c r="C357" s="21" t="inlineStr">
        <is>
          <t>Nifty Smallcap 250 TRI</t>
        </is>
      </c>
      <c r="D357" s="21" t="inlineStr">
        <is>
          <t>Very High</t>
        </is>
      </c>
      <c r="E357" s="21" t="inlineStr">
        <is>
          <t>Very High</t>
        </is>
      </c>
      <c r="F357" s="22" t="n">
        <v>46023</v>
      </c>
      <c r="G357" s="21" t="n">
        <v>44.89</v>
      </c>
      <c r="H357" s="21" t="n">
        <v>50.39</v>
      </c>
      <c r="I357" s="21" t="n">
        <v>-8.131268</v>
      </c>
      <c r="J357" s="21" t="n">
        <v>-1.7327385</v>
      </c>
      <c r="K357" s="21" t="n">
        <v>-6.3985295</v>
      </c>
      <c r="L357" s="21" t="n">
        <v>20.465582</v>
      </c>
      <c r="M357" s="21" t="n">
        <v>-0.9103549999999991</v>
      </c>
      <c r="N357" s="21" t="n">
        <v>21.375937</v>
      </c>
      <c r="O357" s="21" t="n">
        <v>24.582825</v>
      </c>
      <c r="P357" s="21" t="n">
        <v>1.592703</v>
      </c>
      <c r="Q357" s="21" t="n">
        <v>22.990122</v>
      </c>
      <c r="R357" s="21" t="n"/>
      <c r="S357" s="21" t="n"/>
      <c r="T357" s="21" t="n"/>
      <c r="U357" s="21" t="n">
        <v>25.81989</v>
      </c>
      <c r="V357" s="21" t="n">
        <v>1939.59</v>
      </c>
      <c r="W357" s="21" t="n">
        <v>-0.266379961773137</v>
      </c>
      <c r="X357" s="21" t="n">
        <v>-0.5231359443095653</v>
      </c>
      <c r="Y357" s="21" t="n"/>
      <c r="Z357" s="21" t="n"/>
      <c r="AA357" s="21" t="n">
        <v>-0.1498576285007257</v>
      </c>
      <c r="AB357" s="21" t="n">
        <v>-0.4174019853074499</v>
      </c>
      <c r="AC357" s="21" t="n">
        <v>0.1808759035985169</v>
      </c>
      <c r="AD357" s="21" t="n">
        <v>-0.08272446615385359</v>
      </c>
      <c r="AE357" s="21" t="n">
        <v>-9.441195</v>
      </c>
      <c r="AF357" s="21" t="n"/>
      <c r="AG357" s="21" t="n">
        <v>18.719337</v>
      </c>
      <c r="AH357" s="21" t="n">
        <v>22.657202</v>
      </c>
      <c r="AI357" s="21" t="n">
        <v>18.682709</v>
      </c>
      <c r="AJ357" s="21" t="n">
        <v>18.682709</v>
      </c>
      <c r="AK357" s="21" t="n">
        <v>23.771448</v>
      </c>
      <c r="AL357" s="21" t="inlineStr">
        <is>
          <t>Equity Scheme - Small Cap Fund</t>
        </is>
      </c>
      <c r="AM357" s="21" t="n">
        <v>1.9</v>
      </c>
      <c r="AN357" s="21" t="n">
        <v>0</v>
      </c>
      <c r="AO357" s="21" t="n">
        <v>0.05</v>
      </c>
      <c r="AP357" s="21" t="n">
        <v>0.07000000000000001</v>
      </c>
      <c r="AQ357" s="21" t="n">
        <v>2.02</v>
      </c>
      <c r="AR357" s="21" t="n">
        <v>0.47</v>
      </c>
      <c r="AS357" s="21" t="n">
        <v>0</v>
      </c>
      <c r="AT357" s="21" t="n">
        <v>0.05</v>
      </c>
      <c r="AU357" s="21" t="n">
        <v>0.07000000000000001</v>
      </c>
      <c r="AV357" s="21" t="n">
        <v>0.59</v>
      </c>
      <c r="AW357" s="17" t="n">
        <v>2.268005093860043</v>
      </c>
      <c r="AX357" s="18" t="inlineStr">
        <is>
          <t>-44cr</t>
        </is>
      </c>
      <c r="AY357" s="26" t="n">
        <v>2.140665484047896</v>
      </c>
      <c r="AZ357" s="26" t="n">
        <v>1.651840646370005</v>
      </c>
      <c r="BA357" s="26" t="n">
        <v>0.7006643888405648</v>
      </c>
      <c r="BB357" s="28" t="n">
        <v>2</v>
      </c>
      <c r="BC357" t="n">
        <v>0</v>
      </c>
      <c r="BD357" t="n">
        <v>1</v>
      </c>
      <c r="BE357" t="n">
        <v>1</v>
      </c>
      <c r="BF357" t="n">
        <v>0</v>
      </c>
      <c r="BG357" t="n">
        <v>0</v>
      </c>
      <c r="BH357" t="n">
        <v>0</v>
      </c>
    </row>
    <row r="358">
      <c r="A358" s="21" t="inlineStr">
        <is>
          <t>Baroda BNP Paribas Small Cap Fund</t>
        </is>
      </c>
      <c r="B358" s="21" t="inlineStr">
        <is>
          <t>small cap</t>
        </is>
      </c>
      <c r="C358" s="21" t="inlineStr">
        <is>
          <t>Nifty Smallcap 250 TRI</t>
        </is>
      </c>
      <c r="D358" s="21" t="inlineStr">
        <is>
          <t>Very High</t>
        </is>
      </c>
      <c r="E358" s="21" t="inlineStr">
        <is>
          <t>Very High</t>
        </is>
      </c>
      <c r="F358" s="22" t="n">
        <v>46023</v>
      </c>
      <c r="G358" s="21" t="n">
        <v>12.8825</v>
      </c>
      <c r="H358" s="21" t="n">
        <v>13.2911</v>
      </c>
      <c r="I358" s="21" t="n">
        <v>-6.101154</v>
      </c>
      <c r="J358" s="21" t="n">
        <v>0.2973755000000002</v>
      </c>
      <c r="K358" s="21" t="n">
        <v>-6.3985295</v>
      </c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>
        <v>13.916563</v>
      </c>
      <c r="V358" s="21" t="n">
        <v>1218.85</v>
      </c>
      <c r="W358" s="21" t="n">
        <v>-0.04342525888517923</v>
      </c>
      <c r="X358" s="21" t="n">
        <v>-0.2487427362738907</v>
      </c>
      <c r="Y358" s="21" t="n"/>
      <c r="Z358" s="21" t="n"/>
      <c r="AA358" s="21" t="n"/>
      <c r="AB358" s="21" t="n"/>
      <c r="AC358" s="21" t="n"/>
      <c r="AD358" s="21" t="n"/>
      <c r="AE358" s="21" t="n">
        <v>-7.209329</v>
      </c>
      <c r="AF358" s="21" t="n"/>
      <c r="AG358" s="21" t="n"/>
      <c r="AH358" s="21" t="n"/>
      <c r="AI358" s="21" t="n">
        <v>16.808558</v>
      </c>
      <c r="AJ358" s="21" t="n">
        <v>16.808558</v>
      </c>
      <c r="AK358" s="21" t="n">
        <v>12.299153</v>
      </c>
      <c r="AL358" s="21" t="inlineStr">
        <is>
          <t>Equity Scheme - Small Cap Fund</t>
        </is>
      </c>
      <c r="AM358" s="21" t="n">
        <v>2</v>
      </c>
      <c r="AN358" s="21" t="n">
        <v>0</v>
      </c>
      <c r="AO358" s="21" t="n">
        <v>0.05</v>
      </c>
      <c r="AP358" s="21" t="n">
        <v>0.13</v>
      </c>
      <c r="AQ358" s="21" t="n">
        <v>2.18</v>
      </c>
      <c r="AR358" s="21" t="n">
        <v>0.77</v>
      </c>
      <c r="AS358" s="21" t="n">
        <v>0</v>
      </c>
      <c r="AT358" s="21" t="n">
        <v>0.05</v>
      </c>
      <c r="AU358" s="21" t="n">
        <v>0.13</v>
      </c>
      <c r="AV358" s="21" t="n">
        <v>0.95</v>
      </c>
      <c r="AW358" s="17" t="n">
        <v>1.946096730524677</v>
      </c>
      <c r="AX358" s="18" t="inlineStr">
        <is>
          <t>-24cr</t>
        </is>
      </c>
      <c r="AY358" s="26" t="n">
        <v>1.373671370530374</v>
      </c>
      <c r="AZ358" s="26" t="n">
        <v>1.651840646370005</v>
      </c>
      <c r="BA358" s="26" t="n">
        <v>0.6625193440092902</v>
      </c>
      <c r="BB358" s="28" t="n">
        <v>3</v>
      </c>
      <c r="BC358" t="n">
        <v>0</v>
      </c>
      <c r="BD358" t="n">
        <v>1</v>
      </c>
      <c r="BE358" t="n">
        <v>0</v>
      </c>
      <c r="BF358" t="n">
        <v>1</v>
      </c>
      <c r="BG358" t="n">
        <v>0</v>
      </c>
      <c r="BH358" t="n">
        <v>1</v>
      </c>
    </row>
    <row r="359">
      <c r="A359" s="21" t="inlineStr">
        <is>
          <t>Canara Robeco Small Cap Fund</t>
        </is>
      </c>
      <c r="B359" s="21" t="inlineStr">
        <is>
          <t>small cap</t>
        </is>
      </c>
      <c r="C359" s="21" t="inlineStr">
        <is>
          <t>Nifty Smallcap 250 TRI</t>
        </is>
      </c>
      <c r="D359" s="21" t="inlineStr">
        <is>
          <t>Very High</t>
        </is>
      </c>
      <c r="E359" s="21" t="inlineStr">
        <is>
          <t>Very High</t>
        </is>
      </c>
      <c r="F359" s="22" t="n">
        <v>46023</v>
      </c>
      <c r="G359" s="21" t="n">
        <v>38.46</v>
      </c>
      <c r="H359" s="21" t="n">
        <v>42.72</v>
      </c>
      <c r="I359" s="21" t="n">
        <v>-3.7621086</v>
      </c>
      <c r="J359" s="21" t="n">
        <v>2.636420900000001</v>
      </c>
      <c r="K359" s="21" t="n">
        <v>-6.3985295</v>
      </c>
      <c r="L359" s="21" t="n">
        <v>17.350624</v>
      </c>
      <c r="M359" s="21" t="n">
        <v>-4.025313000000001</v>
      </c>
      <c r="N359" s="21" t="n">
        <v>21.375937</v>
      </c>
      <c r="O359" s="21" t="n">
        <v>24.786657</v>
      </c>
      <c r="P359" s="21" t="n">
        <v>1.796535000000002</v>
      </c>
      <c r="Q359" s="21" t="n">
        <v>22.990122</v>
      </c>
      <c r="R359" s="21" t="n"/>
      <c r="S359" s="21" t="n"/>
      <c r="T359" s="21" t="n"/>
      <c r="U359" s="21" t="n">
        <v>23.490152</v>
      </c>
      <c r="V359" s="21" t="n">
        <v>13104.97</v>
      </c>
      <c r="W359" s="21" t="n">
        <v>0.5120894826258061</v>
      </c>
      <c r="X359" s="21" t="n">
        <v>0.241283711698695</v>
      </c>
      <c r="Y359" s="21" t="n"/>
      <c r="Z359" s="21" t="n"/>
      <c r="AA359" s="21" t="n">
        <v>-0.781745317528945</v>
      </c>
      <c r="AB359" s="21" t="n">
        <v>-1.03513272105597</v>
      </c>
      <c r="AC359" s="21" t="n">
        <v>0.1923935832948848</v>
      </c>
      <c r="AD359" s="21" t="n">
        <v>-0.08080956808745618</v>
      </c>
      <c r="AE359" s="21" t="n">
        <v>-4.919654</v>
      </c>
      <c r="AF359" s="21" t="n"/>
      <c r="AG359" s="21" t="n">
        <v>15.889985</v>
      </c>
      <c r="AH359" s="21" t="n">
        <v>22.987926</v>
      </c>
      <c r="AI359" s="21" t="n">
        <v>21.082155</v>
      </c>
      <c r="AJ359" s="21" t="n">
        <v>21.082155</v>
      </c>
      <c r="AK359" s="21" t="n">
        <v>21.619535</v>
      </c>
      <c r="AL359" s="21" t="inlineStr">
        <is>
          <t>Equity Scheme - Small Cap Fund</t>
        </is>
      </c>
      <c r="AM359" s="21" t="n">
        <v>1.58</v>
      </c>
      <c r="AN359" s="21" t="n">
        <v>0</v>
      </c>
      <c r="AO359" s="21" t="n">
        <v>0.05</v>
      </c>
      <c r="AP359" s="21" t="n">
        <v>0.06</v>
      </c>
      <c r="AQ359" s="21" t="n">
        <v>1.69</v>
      </c>
      <c r="AR359" s="21" t="n">
        <v>0.4</v>
      </c>
      <c r="AS359" s="21" t="n">
        <v>0</v>
      </c>
      <c r="AT359" s="21" t="n">
        <v>0.05</v>
      </c>
      <c r="AU359" s="21" t="n">
        <v>0.06</v>
      </c>
      <c r="AV359" s="21" t="n">
        <v>0.51</v>
      </c>
      <c r="AW359" s="17" t="n">
        <v>-0.0348722660181573</v>
      </c>
      <c r="AX359" t="inlineStr">
        <is>
          <t>5cr</t>
        </is>
      </c>
      <c r="AY359" s="26" t="n">
        <v>1.335342065477447</v>
      </c>
      <c r="AZ359" s="26" t="n">
        <v>1.651840646370005</v>
      </c>
      <c r="BA359" s="26" t="n">
        <v>0.5992432047236752</v>
      </c>
      <c r="BB359" s="28" t="n">
        <v>4</v>
      </c>
      <c r="BC359" t="n">
        <v>1</v>
      </c>
      <c r="BD359" t="n">
        <v>0</v>
      </c>
      <c r="BE359" t="n">
        <v>1</v>
      </c>
      <c r="BF359" t="n">
        <v>1</v>
      </c>
      <c r="BG359" t="n">
        <v>0</v>
      </c>
      <c r="BH359" t="n">
        <v>1</v>
      </c>
    </row>
    <row r="360">
      <c r="A360" s="21" t="inlineStr">
        <is>
          <t>Edelweiss Small Cap Fund</t>
        </is>
      </c>
      <c r="B360" s="21" t="inlineStr">
        <is>
          <t>small cap</t>
        </is>
      </c>
      <c r="C360" s="21" t="inlineStr">
        <is>
          <t>Nifty Smallcap 250 TRI</t>
        </is>
      </c>
      <c r="D360" s="21" t="inlineStr">
        <is>
          <t>Very High</t>
        </is>
      </c>
      <c r="E360" s="21" t="inlineStr">
        <is>
          <t>Very High</t>
        </is>
      </c>
      <c r="F360" s="22" t="n">
        <v>46023</v>
      </c>
      <c r="G360" s="21" t="n">
        <v>44.043</v>
      </c>
      <c r="H360" s="21" t="n">
        <v>49</v>
      </c>
      <c r="I360" s="21" t="n">
        <v>-1.4897168</v>
      </c>
      <c r="J360" s="21" t="n">
        <v>4.9088127</v>
      </c>
      <c r="K360" s="21" t="n">
        <v>-6.3985295</v>
      </c>
      <c r="L360" s="21" t="n">
        <v>21.89566</v>
      </c>
      <c r="M360" s="21" t="n">
        <v>0.519722999999999</v>
      </c>
      <c r="N360" s="21" t="n">
        <v>21.375937</v>
      </c>
      <c r="O360" s="21" t="n">
        <v>25.844477</v>
      </c>
      <c r="P360" s="21" t="n">
        <v>2.854355000000002</v>
      </c>
      <c r="Q360" s="21" t="n">
        <v>22.990122</v>
      </c>
      <c r="R360" s="21" t="n"/>
      <c r="S360" s="21" t="n"/>
      <c r="T360" s="21" t="n"/>
      <c r="U360" s="21" t="n">
        <v>25.88352</v>
      </c>
      <c r="V360" s="21" t="n">
        <v>5471.62</v>
      </c>
      <c r="W360" s="21" t="n">
        <v>0.9214777290054831</v>
      </c>
      <c r="X360" s="21" t="n">
        <v>0.6425351276540227</v>
      </c>
      <c r="Y360" s="21" t="n"/>
      <c r="Z360" s="21" t="n"/>
      <c r="AA360" s="21" t="n">
        <v>-0.008380745720340227</v>
      </c>
      <c r="AB360" s="21" t="n">
        <v>-0.2799367635728652</v>
      </c>
      <c r="AC360" s="21" t="n">
        <v>0.3187737437900244</v>
      </c>
      <c r="AD360" s="21" t="n">
        <v>0.04845545839376333</v>
      </c>
      <c r="AE360" s="21" t="n">
        <v>-2.8627512</v>
      </c>
      <c r="AF360" s="21" t="n"/>
      <c r="AG360" s="21" t="n">
        <v>20.115715</v>
      </c>
      <c r="AH360" s="21" t="n">
        <v>23.911963</v>
      </c>
      <c r="AI360" s="21" t="n">
        <v>20.2434</v>
      </c>
      <c r="AJ360" s="21" t="n">
        <v>20.2434</v>
      </c>
      <c r="AK360" s="21" t="n">
        <v>23.953829</v>
      </c>
      <c r="AL360" s="21" t="inlineStr">
        <is>
          <t>Equity Scheme - Small Cap Fund</t>
        </is>
      </c>
      <c r="AM360" s="21" t="n">
        <v>1.71</v>
      </c>
      <c r="AN360" s="21" t="n">
        <v>0</v>
      </c>
      <c r="AO360" s="21" t="n">
        <v>0.05</v>
      </c>
      <c r="AP360" s="21" t="n">
        <v>0.06</v>
      </c>
      <c r="AQ360" s="21" t="n">
        <v>1.82</v>
      </c>
      <c r="AR360" s="21" t="n">
        <v>0.34</v>
      </c>
      <c r="AS360" s="21" t="n">
        <v>0</v>
      </c>
      <c r="AT360" s="21" t="n">
        <v>0.05</v>
      </c>
      <c r="AU360" s="21" t="n">
        <v>0.06</v>
      </c>
      <c r="AV360" s="21" t="n">
        <v>0.45</v>
      </c>
      <c r="AW360" s="17" t="n">
        <v>-2.163344676713659</v>
      </c>
      <c r="AX360" t="inlineStr">
        <is>
          <t>118cr</t>
        </is>
      </c>
      <c r="AY360" s="26" t="n">
        <v>1.193827127263381</v>
      </c>
      <c r="AZ360" s="26" t="n">
        <v>1.651840646370005</v>
      </c>
      <c r="BA360" s="26" t="n">
        <v>0.6289859424917522</v>
      </c>
      <c r="BB360" s="28" t="n">
        <v>4</v>
      </c>
      <c r="BC360" t="n">
        <v>1</v>
      </c>
      <c r="BD360" t="n">
        <v>0</v>
      </c>
      <c r="BE360" t="n">
        <v>1</v>
      </c>
      <c r="BF360" t="n">
        <v>1</v>
      </c>
      <c r="BG360" t="n">
        <v>0</v>
      </c>
      <c r="BH360" t="n">
        <v>1</v>
      </c>
    </row>
    <row r="361">
      <c r="A361" s="21" t="inlineStr">
        <is>
          <t>Franklin India Small Cap Fund</t>
        </is>
      </c>
      <c r="B361" s="21" t="inlineStr">
        <is>
          <t>small cap</t>
        </is>
      </c>
      <c r="C361" s="21" t="inlineStr">
        <is>
          <t>Nifty Smallcap 250 TRI</t>
        </is>
      </c>
      <c r="D361" s="21" t="inlineStr">
        <is>
          <t>Very High</t>
        </is>
      </c>
      <c r="E361" s="21" t="inlineStr">
        <is>
          <t>Very High</t>
        </is>
      </c>
      <c r="F361" s="22" t="n">
        <v>46023</v>
      </c>
      <c r="G361" s="21" t="n">
        <v>164.3639</v>
      </c>
      <c r="H361" s="21" t="n">
        <v>186.745</v>
      </c>
      <c r="I361" s="21" t="n">
        <v>-8.32545</v>
      </c>
      <c r="J361" s="21" t="n">
        <v>-1.9269205</v>
      </c>
      <c r="K361" s="21" t="n">
        <v>-6.3985295</v>
      </c>
      <c r="L361" s="21" t="n">
        <v>20.65922</v>
      </c>
      <c r="M361" s="21" t="n">
        <v>-0.7167169999999992</v>
      </c>
      <c r="N361" s="21" t="n">
        <v>21.375937</v>
      </c>
      <c r="O361" s="21" t="n">
        <v>23.456137</v>
      </c>
      <c r="P361" s="21" t="n">
        <v>0.4660149999999987</v>
      </c>
      <c r="Q361" s="21" t="n">
        <v>22.990122</v>
      </c>
      <c r="R361" s="21" t="n">
        <v>16.16854</v>
      </c>
      <c r="S361" s="21" t="n">
        <v>1.515510000000001</v>
      </c>
      <c r="T361" s="21" t="n">
        <v>14.65303</v>
      </c>
      <c r="U361" s="21" t="n">
        <v>20.120726</v>
      </c>
      <c r="V361" s="21" t="n">
        <v>13225.55</v>
      </c>
      <c r="W361" s="21" t="n">
        <v>-0.5110625290836507</v>
      </c>
      <c r="X361" s="21" t="n">
        <v>-0.6723656089979482</v>
      </c>
      <c r="Y361" s="21" t="n">
        <v>0.1197944922674143</v>
      </c>
      <c r="Z361" s="21" t="n">
        <v>-0.03404115876611519</v>
      </c>
      <c r="AA361" s="21" t="n">
        <v>-0.201349231118135</v>
      </c>
      <c r="AB361" s="21" t="n">
        <v>-0.3591408416166008</v>
      </c>
      <c r="AC361" s="21" t="n">
        <v>-0.0134167007402777</v>
      </c>
      <c r="AD361" s="21" t="n">
        <v>-0.1576150040589367</v>
      </c>
      <c r="AE361" s="21" t="n">
        <v>-9.081208999999999</v>
      </c>
      <c r="AF361" s="21" t="n">
        <v>15.045572</v>
      </c>
      <c r="AG361" s="21" t="n">
        <v>19.644428</v>
      </c>
      <c r="AH361" s="21" t="n">
        <v>22.425169</v>
      </c>
      <c r="AI361" s="21" t="n">
        <v>13.649906</v>
      </c>
      <c r="AJ361" s="21" t="n">
        <v>16.125061</v>
      </c>
      <c r="AK361" s="21" t="n">
        <v>15.039947</v>
      </c>
      <c r="AL361" s="21" t="inlineStr">
        <is>
          <t>Equity Scheme - Small Cap Fund</t>
        </is>
      </c>
      <c r="AM361" s="21" t="n">
        <v>1.58</v>
      </c>
      <c r="AN361" s="21" t="n">
        <v>0</v>
      </c>
      <c r="AO361" s="21" t="n">
        <v>0.05</v>
      </c>
      <c r="AP361" s="21" t="n">
        <v>0.14</v>
      </c>
      <c r="AQ361" s="21" t="n">
        <v>1.77</v>
      </c>
      <c r="AR361" s="21" t="n">
        <v>0.79</v>
      </c>
      <c r="AS361" s="21" t="n">
        <v>0</v>
      </c>
      <c r="AT361" s="21" t="n">
        <v>0.05</v>
      </c>
      <c r="AU361" s="21" t="n">
        <v>0.14</v>
      </c>
      <c r="AV361" s="21" t="n">
        <v>0.98</v>
      </c>
      <c r="AW361" s="17" t="n">
        <v>2.305991055192422</v>
      </c>
      <c r="AX361" s="18" t="inlineStr">
        <is>
          <t>-305cr</t>
        </is>
      </c>
      <c r="AY361" s="26" t="n">
        <v>1.854724030111683</v>
      </c>
      <c r="AZ361" s="26" t="n">
        <v>1.651840646370005</v>
      </c>
      <c r="BA361" s="26" t="n">
        <v>0.6582912170019122</v>
      </c>
      <c r="BB361" s="28" t="n">
        <v>1</v>
      </c>
      <c r="BC361" t="n">
        <v>0</v>
      </c>
      <c r="BD361" t="n">
        <v>1</v>
      </c>
      <c r="BE361" t="n">
        <v>0</v>
      </c>
      <c r="BF361" t="n">
        <v>0</v>
      </c>
      <c r="BG361" t="n">
        <v>0</v>
      </c>
      <c r="BH361" t="n">
        <v>0</v>
      </c>
    </row>
    <row r="362">
      <c r="A362" s="21" t="inlineStr">
        <is>
          <t>HDFC Small Cap Fund</t>
        </is>
      </c>
      <c r="B362" s="21" t="inlineStr">
        <is>
          <t>small cap</t>
        </is>
      </c>
      <c r="C362" s="21" t="inlineStr">
        <is>
          <t>BSE 250 Smallcap TRI</t>
        </is>
      </c>
      <c r="D362" s="21" t="inlineStr">
        <is>
          <t>Very High</t>
        </is>
      </c>
      <c r="E362" s="21" t="inlineStr">
        <is>
          <t>Very High</t>
        </is>
      </c>
      <c r="F362" s="22" t="n">
        <v>46023</v>
      </c>
      <c r="G362" s="21" t="n">
        <v>138.821</v>
      </c>
      <c r="H362" s="21" t="n">
        <v>158.455</v>
      </c>
      <c r="I362" s="21" t="n">
        <v>-0.19085652</v>
      </c>
      <c r="J362" s="21" t="n">
        <v>5.71737048</v>
      </c>
      <c r="K362" s="21" t="n">
        <v>-5.908227</v>
      </c>
      <c r="L362" s="21" t="n">
        <v>21.291779</v>
      </c>
      <c r="M362" s="21" t="n">
        <v>0.9393289999999972</v>
      </c>
      <c r="N362" s="21" t="n">
        <v>20.35245</v>
      </c>
      <c r="O362" s="21" t="n">
        <v>25.611645</v>
      </c>
      <c r="P362" s="21" t="n">
        <v>3.433691</v>
      </c>
      <c r="Q362" s="21" t="n">
        <v>22.177954</v>
      </c>
      <c r="R362" s="21" t="n">
        <v>18.829462</v>
      </c>
      <c r="S362" s="21" t="n">
        <v>4.128364999999999</v>
      </c>
      <c r="T362" s="21" t="n">
        <v>14.701097</v>
      </c>
      <c r="U362" s="21" t="n">
        <v>19.288332</v>
      </c>
      <c r="V362" s="21" t="n">
        <v>37889.98</v>
      </c>
      <c r="W362" s="21" t="n">
        <v>1.008550831395401</v>
      </c>
      <c r="X362" s="21" t="n">
        <v>0.8547156787160235</v>
      </c>
      <c r="Y362" s="21" t="n">
        <v>0.5350194335970218</v>
      </c>
      <c r="Z362" s="21" t="n">
        <v>0.3507701000142994</v>
      </c>
      <c r="AA362" s="21" t="n">
        <v>0.07875846852544277</v>
      </c>
      <c r="AB362" s="21" t="n">
        <v>-0.09280714271507208</v>
      </c>
      <c r="AC362" s="21" t="n">
        <v>0.4534458621180542</v>
      </c>
      <c r="AD362" s="21" t="n">
        <v>0.282108430772093</v>
      </c>
      <c r="AE362" s="21" t="n">
        <v>-1.0188948</v>
      </c>
      <c r="AF362" s="21" t="n">
        <v>17.564608</v>
      </c>
      <c r="AG362" s="21" t="n">
        <v>20.216572</v>
      </c>
      <c r="AH362" s="21" t="n">
        <v>24.450592</v>
      </c>
      <c r="AI362" s="21" t="n"/>
      <c r="AJ362" s="21" t="n">
        <v>14.127152</v>
      </c>
      <c r="AK362" s="21" t="n">
        <v>15.966193</v>
      </c>
      <c r="AL362" s="21" t="inlineStr">
        <is>
          <t>Equity Scheme - Small Cap Fund</t>
        </is>
      </c>
      <c r="AM362" s="21" t="n">
        <v>1.41</v>
      </c>
      <c r="AN362" s="21" t="n">
        <v>0</v>
      </c>
      <c r="AO362" s="21" t="n">
        <v>0.05</v>
      </c>
      <c r="AP362" s="21" t="n">
        <v>0.08</v>
      </c>
      <c r="AQ362" s="21" t="n">
        <v>1.54</v>
      </c>
      <c r="AR362" s="21" t="n">
        <v>0.54</v>
      </c>
      <c r="AS362" s="21" t="n">
        <v>0</v>
      </c>
      <c r="AT362" s="21" t="n">
        <v>0.05</v>
      </c>
      <c r="AU362" s="21" t="n">
        <v>0.08</v>
      </c>
      <c r="AV362" s="21" t="n">
        <v>0.67</v>
      </c>
      <c r="AW362" s="17" t="n">
        <v>0.4931382914427469</v>
      </c>
      <c r="AX362" s="18" t="inlineStr">
        <is>
          <t>-187cr</t>
        </is>
      </c>
      <c r="AY362" s="26" t="n">
        <v>1.463953596313748</v>
      </c>
      <c r="AZ362" s="26" t="n">
        <v>1.651840646370005</v>
      </c>
      <c r="BA362" s="26" t="n">
        <v>0.5886858773807286</v>
      </c>
      <c r="BB362" s="28" t="n">
        <v>5</v>
      </c>
      <c r="BC362" t="n">
        <v>1</v>
      </c>
      <c r="BD362" t="n">
        <v>1</v>
      </c>
      <c r="BE362" t="n">
        <v>0</v>
      </c>
      <c r="BF362" t="n">
        <v>1</v>
      </c>
      <c r="BG362" t="n">
        <v>1</v>
      </c>
      <c r="BH362" t="n">
        <v>1</v>
      </c>
    </row>
    <row r="363">
      <c r="A363" s="21" t="inlineStr">
        <is>
          <t>Helios Small Cap Fund</t>
        </is>
      </c>
      <c r="B363" s="21" t="inlineStr">
        <is>
          <t>small cap</t>
        </is>
      </c>
      <c r="C363" s="21" t="inlineStr">
        <is>
          <t>Nifty Smallcap 250 TRI</t>
        </is>
      </c>
      <c r="D363" s="21" t="inlineStr">
        <is>
          <t>Very High</t>
        </is>
      </c>
      <c r="E363" s="21" t="inlineStr">
        <is>
          <t>Very High</t>
        </is>
      </c>
      <c r="F363" s="22" t="n">
        <v>46023</v>
      </c>
      <c r="G363" s="21" t="n">
        <v>9.800000000000001</v>
      </c>
      <c r="H363" s="21" t="n">
        <v>9.81</v>
      </c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>
        <v>623.0700000000001</v>
      </c>
      <c r="W363" s="21" t="n"/>
      <c r="X363" s="21" t="n"/>
      <c r="Y363" s="21" t="n"/>
      <c r="Z363" s="21" t="n"/>
      <c r="AA363" s="21" t="n"/>
      <c r="AB363" s="21" t="n"/>
      <c r="AC363" s="21" t="n"/>
      <c r="AD363" s="21" t="n"/>
      <c r="AE363" s="21" t="n"/>
      <c r="AF363" s="21" t="n"/>
      <c r="AG363" s="21" t="n"/>
      <c r="AH363" s="21" t="n"/>
      <c r="AI363" s="21" t="n"/>
      <c r="AJ363" s="21" t="n"/>
      <c r="AK363" s="21" t="n"/>
      <c r="AL363" s="21" t="inlineStr">
        <is>
          <t>Equity Scheme - Small Cap Fund</t>
        </is>
      </c>
      <c r="AM363" s="21" t="n">
        <v>2.19</v>
      </c>
      <c r="AN363" s="21" t="n">
        <v>0</v>
      </c>
      <c r="AO363" s="21" t="n">
        <v>0.05</v>
      </c>
      <c r="AP363" s="21" t="n">
        <v>0.1</v>
      </c>
      <c r="AQ363" s="21" t="n">
        <v>2.34</v>
      </c>
      <c r="AR363" s="21" t="n">
        <v>0.58</v>
      </c>
      <c r="AS363" s="21" t="n">
        <v>0</v>
      </c>
      <c r="AT363" s="21" t="n">
        <v>0.05</v>
      </c>
      <c r="AU363" s="21" t="n">
        <v>0.1</v>
      </c>
      <c r="AV363" s="21" t="n">
        <v>0.73</v>
      </c>
      <c r="AY363" s="26" t="n">
        <v>1.209208395056055</v>
      </c>
      <c r="AZ363" s="26" t="n">
        <v>1.651840646370005</v>
      </c>
      <c r="BA363" s="26" t="n">
        <v>0.8381841892760288</v>
      </c>
      <c r="BB363" s="28" t="n">
        <v>1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</row>
    <row r="364">
      <c r="A364" s="21" t="inlineStr">
        <is>
          <t>HSBC Small Cap Fund</t>
        </is>
      </c>
      <c r="B364" s="21" t="inlineStr">
        <is>
          <t>small cap</t>
        </is>
      </c>
      <c r="C364" s="21" t="inlineStr">
        <is>
          <t>Nifty Smallcap 250 TRI</t>
        </is>
      </c>
      <c r="D364" s="21" t="inlineStr">
        <is>
          <t>Very High</t>
        </is>
      </c>
      <c r="E364" s="21" t="inlineStr">
        <is>
          <t>Very High</t>
        </is>
      </c>
      <c r="F364" s="22" t="n">
        <v>46023</v>
      </c>
      <c r="G364" s="21" t="n">
        <v>78.2062</v>
      </c>
      <c r="H364" s="21" t="n">
        <v>87.3064</v>
      </c>
      <c r="I364" s="21" t="n">
        <v>-11.606716</v>
      </c>
      <c r="J364" s="21" t="n">
        <v>-5.2081865</v>
      </c>
      <c r="K364" s="21" t="n">
        <v>-6.3985295</v>
      </c>
      <c r="L364" s="21" t="n">
        <v>19.490543</v>
      </c>
      <c r="M364" s="21" t="n">
        <v>-1.885394000000002</v>
      </c>
      <c r="N364" s="21" t="n">
        <v>21.375937</v>
      </c>
      <c r="O364" s="21" t="n">
        <v>25.443459</v>
      </c>
      <c r="P364" s="21" t="n">
        <v>2.453337000000001</v>
      </c>
      <c r="Q364" s="21" t="n">
        <v>22.990122</v>
      </c>
      <c r="R364" s="21" t="n">
        <v>18.48831</v>
      </c>
      <c r="S364" s="21" t="n">
        <v>3.835279999999999</v>
      </c>
      <c r="T364" s="21" t="n">
        <v>14.65303</v>
      </c>
      <c r="U364" s="21" t="n">
        <v>20.44291</v>
      </c>
      <c r="V364" s="21" t="n">
        <v>15934.49</v>
      </c>
      <c r="W364" s="21" t="n">
        <v>-1.427363197505004</v>
      </c>
      <c r="X364" s="21" t="n">
        <v>-1.688044430429024</v>
      </c>
      <c r="Y364" s="21" t="n">
        <v>0.5209108326892289</v>
      </c>
      <c r="Z364" s="21" t="n">
        <v>0.3439081433098939</v>
      </c>
      <c r="AA364" s="21" t="n">
        <v>-0.3606000692269277</v>
      </c>
      <c r="AB364" s="21" t="n">
        <v>-0.5712981928342916</v>
      </c>
      <c r="AC364" s="21" t="n">
        <v>0.3394659056424431</v>
      </c>
      <c r="AD364" s="21" t="n">
        <v>0.1396646495178964</v>
      </c>
      <c r="AE364" s="21" t="n">
        <v>-12.516234</v>
      </c>
      <c r="AF364" s="21" t="n">
        <v>17.318277</v>
      </c>
      <c r="AG364" s="21" t="n">
        <v>18.274504</v>
      </c>
      <c r="AH364" s="21" t="n">
        <v>24.1465</v>
      </c>
      <c r="AI364" s="21" t="n">
        <v>17.19735</v>
      </c>
      <c r="AJ364" s="21" t="n">
        <v>17.19735</v>
      </c>
      <c r="AK364" s="21" t="n">
        <v>19.3102</v>
      </c>
      <c r="AL364" s="21" t="inlineStr">
        <is>
          <t>Equity Scheme - Small Cap Fund</t>
        </is>
      </c>
      <c r="AM364" s="21" t="n">
        <v>1.56</v>
      </c>
      <c r="AN364" s="21" t="n">
        <v>0</v>
      </c>
      <c r="AO364" s="21" t="n">
        <v>0.05</v>
      </c>
      <c r="AP364" s="21" t="n">
        <v>0.1</v>
      </c>
      <c r="AQ364" s="21" t="n">
        <v>1.71</v>
      </c>
      <c r="AR364" s="21" t="n">
        <v>0.5600000000000001</v>
      </c>
      <c r="AS364" s="21" t="n">
        <v>0</v>
      </c>
      <c r="AT364" s="21" t="n">
        <v>0.05</v>
      </c>
      <c r="AU364" s="21" t="n">
        <v>0.1</v>
      </c>
      <c r="AV364" s="21" t="n">
        <v>0.71</v>
      </c>
      <c r="AW364" s="17" t="n">
        <v>1.728012631718997</v>
      </c>
      <c r="AX364" s="18" t="inlineStr">
        <is>
          <t>-275cr</t>
        </is>
      </c>
      <c r="AY364" s="26" t="n">
        <v>1.812772079622886</v>
      </c>
      <c r="AZ364" s="26" t="n">
        <v>1.651840646370005</v>
      </c>
      <c r="BA364" s="26" t="n">
        <v>0.689658546795154</v>
      </c>
      <c r="BB364" s="28" t="n">
        <v>1</v>
      </c>
      <c r="BC364" t="n">
        <v>0</v>
      </c>
      <c r="BD364" t="n">
        <v>1</v>
      </c>
      <c r="BE364" t="n">
        <v>0</v>
      </c>
      <c r="BF364" t="n">
        <v>0</v>
      </c>
      <c r="BG364" t="n">
        <v>0</v>
      </c>
      <c r="BH364" t="n">
        <v>0</v>
      </c>
    </row>
    <row r="365">
      <c r="A365" s="21" t="inlineStr">
        <is>
          <t>ICICI Prudential Smallcap Fund</t>
        </is>
      </c>
      <c r="B365" s="21" t="inlineStr">
        <is>
          <t>small cap</t>
        </is>
      </c>
      <c r="C365" s="21" t="inlineStr">
        <is>
          <t>Nifty Smallcap 250 TRI</t>
        </is>
      </c>
      <c r="D365" s="21" t="inlineStr">
        <is>
          <t>Very High</t>
        </is>
      </c>
      <c r="E365" s="21" t="inlineStr">
        <is>
          <t>Very High</t>
        </is>
      </c>
      <c r="F365" s="22" t="n">
        <v>46023</v>
      </c>
      <c r="G365" s="21" t="n">
        <v>86.04000000000001</v>
      </c>
      <c r="H365" s="21" t="n">
        <v>97.04000000000001</v>
      </c>
      <c r="I365" s="21" t="n">
        <v>0.4450885</v>
      </c>
      <c r="J365" s="21" t="n">
        <v>6.843618</v>
      </c>
      <c r="K365" s="21" t="n">
        <v>-6.3985295</v>
      </c>
      <c r="L365" s="21" t="n">
        <v>17.947672</v>
      </c>
      <c r="M365" s="21" t="n">
        <v>-3.428265</v>
      </c>
      <c r="N365" s="21" t="n">
        <v>21.375937</v>
      </c>
      <c r="O365" s="21" t="n">
        <v>23.265194</v>
      </c>
      <c r="P365" s="21" t="n">
        <v>0.2750720000000015</v>
      </c>
      <c r="Q365" s="21" t="n">
        <v>22.990122</v>
      </c>
      <c r="R365" s="21" t="n">
        <v>16.886505</v>
      </c>
      <c r="S365" s="21" t="n">
        <v>2.233475</v>
      </c>
      <c r="T365" s="21" t="n">
        <v>14.65303</v>
      </c>
      <c r="U365" s="21" t="n">
        <v>17.219969</v>
      </c>
      <c r="V365" s="21" t="n">
        <v>8436.85</v>
      </c>
      <c r="W365" s="21" t="n">
        <v>0.8462456377200497</v>
      </c>
      <c r="X365" s="21" t="n">
        <v>0.7060536064775037</v>
      </c>
      <c r="Y365" s="21" t="n">
        <v>0.1534488497423931</v>
      </c>
      <c r="Z365" s="21" t="n">
        <v>0.02020375342868643</v>
      </c>
      <c r="AA365" s="21" t="n">
        <v>-0.5315452655273638</v>
      </c>
      <c r="AB365" s="21" t="n">
        <v>-0.6909547572216691</v>
      </c>
      <c r="AC365" s="21" t="n">
        <v>-0.06300837688030432</v>
      </c>
      <c r="AD365" s="21" t="n">
        <v>-0.2365394734607828</v>
      </c>
      <c r="AE365" s="21" t="n">
        <v>-0.56627756</v>
      </c>
      <c r="AF365" s="21" t="n">
        <v>15.678944</v>
      </c>
      <c r="AG365" s="21" t="n">
        <v>16.683886</v>
      </c>
      <c r="AH365" s="21" t="n">
        <v>21.799717</v>
      </c>
      <c r="AI365" s="21" t="n">
        <v>11.565195</v>
      </c>
      <c r="AJ365" s="21" t="n">
        <v>16.056416</v>
      </c>
      <c r="AK365" s="21" t="n">
        <v>12.539014</v>
      </c>
      <c r="AL365" s="21" t="inlineStr">
        <is>
          <t>Equity Scheme - Small Cap Fund</t>
        </is>
      </c>
      <c r="AM365" s="21" t="n">
        <v>1.64</v>
      </c>
      <c r="AN365" s="21" t="n">
        <v>0</v>
      </c>
      <c r="AO365" s="21" t="n">
        <v>0.05</v>
      </c>
      <c r="AP365" s="21" t="n">
        <v>0.11</v>
      </c>
      <c r="AQ365" s="21" t="n">
        <v>1.8</v>
      </c>
      <c r="AR365" s="21" t="n">
        <v>0.63</v>
      </c>
      <c r="AS365" s="21" t="n">
        <v>0</v>
      </c>
      <c r="AT365" s="21" t="n">
        <v>0.05</v>
      </c>
      <c r="AU365" s="21" t="n">
        <v>0.11</v>
      </c>
      <c r="AV365" s="21" t="n">
        <v>0.79</v>
      </c>
      <c r="AW365" s="17" t="n">
        <v>0.4074980591097293</v>
      </c>
      <c r="AX365" s="18" t="inlineStr">
        <is>
          <t>-34cr</t>
        </is>
      </c>
      <c r="AY365" s="26" t="n">
        <v>1.074741479867441</v>
      </c>
      <c r="AZ365" s="26" t="n">
        <v>1.651840646370005</v>
      </c>
      <c r="BA365" s="26" t="n">
        <v>0.4709516474967776</v>
      </c>
      <c r="BB365" s="28" t="n">
        <v>4</v>
      </c>
      <c r="BC365" t="n">
        <v>1</v>
      </c>
      <c r="BD365" t="n">
        <v>1</v>
      </c>
      <c r="BE365" t="n">
        <v>0</v>
      </c>
      <c r="BF365" t="n">
        <v>1</v>
      </c>
      <c r="BG365" t="n">
        <v>0</v>
      </c>
      <c r="BH365" t="n">
        <v>1</v>
      </c>
    </row>
    <row r="366">
      <c r="A366" s="21" t="inlineStr">
        <is>
          <t>Invesco India Smallcap Fund</t>
        </is>
      </c>
      <c r="B366" s="21" t="inlineStr">
        <is>
          <t>small cap</t>
        </is>
      </c>
      <c r="C366" s="21" t="inlineStr">
        <is>
          <t>BSE 250 Smallcap TRI</t>
        </is>
      </c>
      <c r="D366" s="21" t="inlineStr">
        <is>
          <t>Very High</t>
        </is>
      </c>
      <c r="E366" s="21" t="inlineStr">
        <is>
          <t>Very High</t>
        </is>
      </c>
      <c r="F366" s="22" t="n">
        <v>46023</v>
      </c>
      <c r="G366" s="21" t="n">
        <v>41.95</v>
      </c>
      <c r="H366" s="21" t="n">
        <v>46.76</v>
      </c>
      <c r="I366" s="21" t="n">
        <v>-2.0322647</v>
      </c>
      <c r="J366" s="21" t="n">
        <v>3.8759623</v>
      </c>
      <c r="K366" s="21" t="n">
        <v>-5.908227</v>
      </c>
      <c r="L366" s="21" t="n">
        <v>26.21842</v>
      </c>
      <c r="M366" s="21" t="n">
        <v>5.865969999999997</v>
      </c>
      <c r="N366" s="21" t="n">
        <v>20.35245</v>
      </c>
      <c r="O366" s="21" t="n">
        <v>27.151262</v>
      </c>
      <c r="P366" s="21" t="n">
        <v>4.973307999999999</v>
      </c>
      <c r="Q366" s="21" t="n">
        <v>22.177954</v>
      </c>
      <c r="R366" s="21" t="n"/>
      <c r="S366" s="21" t="n"/>
      <c r="T366" s="21" t="n"/>
      <c r="U366" s="21" t="n">
        <v>23.971601</v>
      </c>
      <c r="V366" s="21" t="n">
        <v>9283.709999999999</v>
      </c>
      <c r="W366" s="21" t="n">
        <v>0.7722152075637083</v>
      </c>
      <c r="X366" s="21" t="n">
        <v>0.5194323213245713</v>
      </c>
      <c r="Y366" s="21" t="n"/>
      <c r="Z366" s="21" t="n"/>
      <c r="AA366" s="21" t="n">
        <v>0.842308420018254</v>
      </c>
      <c r="AB366" s="21" t="n">
        <v>0.5913568843758725</v>
      </c>
      <c r="AC366" s="21" t="n">
        <v>0.6255794423172429</v>
      </c>
      <c r="AD366" s="21" t="n">
        <v>0.3827610222664595</v>
      </c>
      <c r="AE366" s="21" t="n">
        <v>-3.341014</v>
      </c>
      <c r="AF366" s="21" t="n"/>
      <c r="AG366" s="21" t="n">
        <v>24.498281</v>
      </c>
      <c r="AH366" s="21" t="n">
        <v>25.307405</v>
      </c>
      <c r="AI366" s="21" t="n">
        <v>18.672503</v>
      </c>
      <c r="AJ366" s="21" t="n">
        <v>18.672503</v>
      </c>
      <c r="AK366" s="21" t="n">
        <v>22.11096</v>
      </c>
      <c r="AL366" s="21" t="inlineStr">
        <is>
          <t>Equity Scheme - Small Cap Fund</t>
        </is>
      </c>
      <c r="AM366" s="21" t="n">
        <v>1.62</v>
      </c>
      <c r="AN366" s="21" t="n">
        <v>0</v>
      </c>
      <c r="AO366" s="21" t="n">
        <v>0.05</v>
      </c>
      <c r="AP366" s="21" t="n">
        <v>0.04</v>
      </c>
      <c r="AQ366" s="21" t="n">
        <v>1.71</v>
      </c>
      <c r="AR366" s="21" t="n">
        <v>0.31</v>
      </c>
      <c r="AS366" s="21" t="n">
        <v>0</v>
      </c>
      <c r="AT366" s="21" t="n">
        <v>0.05</v>
      </c>
      <c r="AU366" s="21" t="n">
        <v>0.04</v>
      </c>
      <c r="AV366" s="21" t="n">
        <v>0.4</v>
      </c>
      <c r="AW366" s="17" t="n">
        <v>-2.832272873667949</v>
      </c>
      <c r="AX366" t="inlineStr">
        <is>
          <t>263cr</t>
        </is>
      </c>
      <c r="AY366" s="26" t="n">
        <v>1.452122471284265</v>
      </c>
      <c r="AZ366" s="26" t="n">
        <v>1.651840646370005</v>
      </c>
      <c r="BA366" s="26" t="n">
        <v>0.6813966678580211</v>
      </c>
      <c r="BB366" s="28" t="n">
        <v>4</v>
      </c>
      <c r="BC366" t="n">
        <v>1</v>
      </c>
      <c r="BD366" t="n">
        <v>0</v>
      </c>
      <c r="BE366" t="n">
        <v>1</v>
      </c>
      <c r="BF366" t="n">
        <v>1</v>
      </c>
      <c r="BG366" t="n">
        <v>0</v>
      </c>
      <c r="BH366" t="n">
        <v>1</v>
      </c>
    </row>
    <row r="367">
      <c r="A367" s="21" t="inlineStr">
        <is>
          <t>ITI Small Cap Fund</t>
        </is>
      </c>
      <c r="B367" s="21" t="inlineStr">
        <is>
          <t>small cap</t>
        </is>
      </c>
      <c r="C367" s="21" t="inlineStr">
        <is>
          <t>Nifty Smallcap 250 TRI</t>
        </is>
      </c>
      <c r="D367" s="21" t="inlineStr">
        <is>
          <t>Very High</t>
        </is>
      </c>
      <c r="E367" s="21" t="inlineStr">
        <is>
          <t>Very High</t>
        </is>
      </c>
      <c r="F367" s="22" t="n">
        <v>46023</v>
      </c>
      <c r="G367" s="21" t="n">
        <v>28.0036</v>
      </c>
      <c r="H367" s="21" t="n">
        <v>31.3063</v>
      </c>
      <c r="I367" s="21" t="n">
        <v>-3.5530322</v>
      </c>
      <c r="J367" s="21" t="n">
        <v>2.8454973</v>
      </c>
      <c r="K367" s="21" t="n">
        <v>-6.3985295</v>
      </c>
      <c r="L367" s="21" t="n">
        <v>26.956095</v>
      </c>
      <c r="M367" s="21" t="n">
        <v>5.580158000000001</v>
      </c>
      <c r="N367" s="21" t="n">
        <v>21.375937</v>
      </c>
      <c r="O367" s="21" t="n">
        <v>21.649986</v>
      </c>
      <c r="P367" s="21" t="n">
        <v>-1.340136000000001</v>
      </c>
      <c r="Q367" s="21" t="n">
        <v>22.990122</v>
      </c>
      <c r="R367" s="21" t="n"/>
      <c r="S367" s="21" t="n"/>
      <c r="T367" s="21" t="n"/>
      <c r="U367" s="21" t="n">
        <v>21.400501</v>
      </c>
      <c r="V367" s="21" t="n">
        <v>2788.99</v>
      </c>
      <c r="W367" s="21" t="n">
        <v>0.7518389320457473</v>
      </c>
      <c r="X367" s="21" t="n">
        <v>0.3933988614132684</v>
      </c>
      <c r="Y367" s="21" t="n"/>
      <c r="Z367" s="21" t="n"/>
      <c r="AA367" s="21" t="n">
        <v>1.052003087457207</v>
      </c>
      <c r="AB367" s="21" t="n">
        <v>0.6653295184061128</v>
      </c>
      <c r="AC367" s="21" t="n">
        <v>-0.2069762247244079</v>
      </c>
      <c r="AD367" s="21" t="n">
        <v>-0.5313106885493748</v>
      </c>
      <c r="AE367" s="21" t="n">
        <v>-4.97881</v>
      </c>
      <c r="AF367" s="21" t="n"/>
      <c r="AG367" s="21" t="n">
        <v>24.882547</v>
      </c>
      <c r="AH367" s="21" t="n">
        <v>19.430927</v>
      </c>
      <c r="AI367" s="21" t="n">
        <v>22.89075</v>
      </c>
      <c r="AJ367" s="21" t="n">
        <v>22.89075</v>
      </c>
      <c r="AK367" s="21" t="n">
        <v>19.122293</v>
      </c>
      <c r="AL367" s="21" t="inlineStr">
        <is>
          <t>Equity Scheme - Small Cap Fund</t>
        </is>
      </c>
      <c r="AM367" s="21" t="n">
        <v>1.8</v>
      </c>
      <c r="AN367" s="21" t="n">
        <v>0</v>
      </c>
      <c r="AO367" s="21" t="n">
        <v>0.05</v>
      </c>
      <c r="AP367" s="21" t="n">
        <v>0.02</v>
      </c>
      <c r="AQ367" s="21" t="n">
        <v>1.87</v>
      </c>
      <c r="AR367" s="21" t="n">
        <v>0.32</v>
      </c>
      <c r="AS367" s="21" t="n">
        <v>0</v>
      </c>
      <c r="AT367" s="21" t="n">
        <v>0.05</v>
      </c>
      <c r="AU367" s="21" t="n">
        <v>0.02</v>
      </c>
      <c r="AV367" s="21" t="n">
        <v>0.39</v>
      </c>
      <c r="AW367" s="17" t="n">
        <v>1.348516846600387</v>
      </c>
      <c r="AX367" s="18" t="inlineStr">
        <is>
          <t>-38cr</t>
        </is>
      </c>
      <c r="AY367" s="26" t="n">
        <v>1.761266043638156</v>
      </c>
      <c r="AZ367" s="26" t="n">
        <v>1.651840646370005</v>
      </c>
      <c r="BA367" s="26" t="n">
        <v>0.7273060705391883</v>
      </c>
      <c r="BB367" s="28" t="n">
        <v>4</v>
      </c>
      <c r="BC367" t="n">
        <v>1</v>
      </c>
      <c r="BD367" t="n">
        <v>1</v>
      </c>
      <c r="BE367" t="n">
        <v>1</v>
      </c>
      <c r="BF367" t="n">
        <v>1</v>
      </c>
      <c r="BG367" t="n">
        <v>0</v>
      </c>
      <c r="BH367" t="n">
        <v>0</v>
      </c>
    </row>
    <row r="368">
      <c r="A368" s="21" t="inlineStr">
        <is>
          <t>JM Small Cap Fund</t>
        </is>
      </c>
      <c r="B368" s="21" t="inlineStr">
        <is>
          <t>small cap</t>
        </is>
      </c>
      <c r="C368" s="21" t="inlineStr">
        <is>
          <t>Nifty Smallcap 250 TRI</t>
        </is>
      </c>
      <c r="D368" s="21" t="inlineStr">
        <is>
          <t>Very High</t>
        </is>
      </c>
      <c r="E368" s="21" t="inlineStr">
        <is>
          <t>Very High</t>
        </is>
      </c>
      <c r="F368" s="22" t="n">
        <v>46023</v>
      </c>
      <c r="G368" s="21" t="n">
        <v>9.561</v>
      </c>
      <c r="H368" s="21" t="n">
        <v>9.8149</v>
      </c>
      <c r="I368" s="21" t="n">
        <v>-9.011773</v>
      </c>
      <c r="J368" s="21" t="n">
        <v>-2.613243499999999</v>
      </c>
      <c r="K368" s="21" t="n">
        <v>-6.3985295</v>
      </c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>
        <v>-1.15348</v>
      </c>
      <c r="V368" s="21" t="n">
        <v>702.99</v>
      </c>
      <c r="W368" s="21" t="n">
        <v>-0.4087966829404135</v>
      </c>
      <c r="X368" s="21" t="n">
        <v>-0.6794351536146256</v>
      </c>
      <c r="Y368" s="21" t="n"/>
      <c r="Z368" s="21" t="n"/>
      <c r="AA368" s="21" t="n"/>
      <c r="AB368" s="21" t="n"/>
      <c r="AC368" s="21" t="n"/>
      <c r="AD368" s="21" t="n"/>
      <c r="AE368" s="21" t="n">
        <v>-10.514395</v>
      </c>
      <c r="AF368" s="21" t="n"/>
      <c r="AG368" s="21" t="n"/>
      <c r="AH368" s="21" t="n"/>
      <c r="AI368" s="21" t="n">
        <v>-0.82705575</v>
      </c>
      <c r="AJ368" s="21" t="n">
        <v>-0.82705575</v>
      </c>
      <c r="AK368" s="21" t="n">
        <v>-2.8173082</v>
      </c>
      <c r="AL368" s="21" t="inlineStr">
        <is>
          <t>Equity Scheme - Small Cap Fund</t>
        </is>
      </c>
      <c r="AM368" s="21" t="n">
        <v>2.2</v>
      </c>
      <c r="AN368" s="21" t="n">
        <v>0</v>
      </c>
      <c r="AO368" s="21" t="n">
        <v>0.05</v>
      </c>
      <c r="AP368" s="21" t="n">
        <v>0.08</v>
      </c>
      <c r="AQ368" s="21" t="n">
        <v>2.33</v>
      </c>
      <c r="AR368" s="21" t="n">
        <v>0.57</v>
      </c>
      <c r="AS368" s="21" t="n">
        <v>0</v>
      </c>
      <c r="AT368" s="21" t="n">
        <v>0.05</v>
      </c>
      <c r="AU368" s="21" t="n">
        <v>0.08</v>
      </c>
      <c r="AV368" s="21" t="n">
        <v>0.7</v>
      </c>
      <c r="AW368" s="17" t="n">
        <v>6.037070228594993</v>
      </c>
      <c r="AX368" s="18" t="inlineStr">
        <is>
          <t>-42cr</t>
        </is>
      </c>
      <c r="AY368" s="26" t="n">
        <v>2.238459594094032</v>
      </c>
      <c r="AZ368" s="26" t="n">
        <v>1.651840646370005</v>
      </c>
      <c r="BA368" s="26" t="n">
        <v>0.852418155013449</v>
      </c>
      <c r="BB368" s="28" t="n">
        <v>1</v>
      </c>
      <c r="BC368" t="n">
        <v>0</v>
      </c>
      <c r="BD368" t="n">
        <v>1</v>
      </c>
      <c r="BE368" t="n">
        <v>0</v>
      </c>
      <c r="BF368" t="n">
        <v>0</v>
      </c>
      <c r="BG368" t="n">
        <v>0</v>
      </c>
      <c r="BH368" t="n">
        <v>0</v>
      </c>
    </row>
    <row r="369">
      <c r="A369" s="21" t="inlineStr">
        <is>
          <t>Kotak Small Cap Fund</t>
        </is>
      </c>
      <c r="B369" s="21" t="inlineStr">
        <is>
          <t>small cap</t>
        </is>
      </c>
      <c r="C369" s="21" t="inlineStr">
        <is>
          <t>Nifty Smallcap 250 TRI</t>
        </is>
      </c>
      <c r="D369" s="21" t="inlineStr">
        <is>
          <t>Very High</t>
        </is>
      </c>
      <c r="E369" s="21" t="inlineStr">
        <is>
          <t>Very High</t>
        </is>
      </c>
      <c r="F369" s="22" t="n">
        <v>46023</v>
      </c>
      <c r="G369" s="21" t="n">
        <v>250.026</v>
      </c>
      <c r="H369" s="21" t="n">
        <v>294.865</v>
      </c>
      <c r="I369" s="21" t="n">
        <v>-9.020925500000001</v>
      </c>
      <c r="J369" s="21" t="n">
        <v>-2.622396</v>
      </c>
      <c r="K369" s="21" t="n">
        <v>-6.3985295</v>
      </c>
      <c r="L369" s="21" t="n">
        <v>16.79734</v>
      </c>
      <c r="M369" s="21" t="n">
        <v>-4.578597000000002</v>
      </c>
      <c r="N369" s="21" t="n">
        <v>21.375937</v>
      </c>
      <c r="O369" s="21" t="n">
        <v>21.873455</v>
      </c>
      <c r="P369" s="21" t="n">
        <v>-1.116667</v>
      </c>
      <c r="Q369" s="21" t="n">
        <v>22.990122</v>
      </c>
      <c r="R369" s="21" t="n">
        <v>18.117289</v>
      </c>
      <c r="S369" s="21" t="n">
        <v>3.464259</v>
      </c>
      <c r="T369" s="21" t="n">
        <v>14.65303</v>
      </c>
      <c r="U369" s="21" t="n">
        <v>19.053883</v>
      </c>
      <c r="V369" s="21" t="n">
        <v>17268.95</v>
      </c>
      <c r="W369" s="21" t="n">
        <v>-0.5707082743159044</v>
      </c>
      <c r="X369" s="21" t="n">
        <v>-0.755081151547716</v>
      </c>
      <c r="Y369" s="21" t="n">
        <v>0.3261760987436078</v>
      </c>
      <c r="Z369" s="21" t="n">
        <v>0.1334631375466463</v>
      </c>
      <c r="AA369" s="21" t="n">
        <v>-0.6981482718096946</v>
      </c>
      <c r="AB369" s="21" t="n">
        <v>-0.8816221360455</v>
      </c>
      <c r="AC369" s="21" t="n">
        <v>-0.232029356097735</v>
      </c>
      <c r="AD369" s="21" t="n">
        <v>-0.4160539117369963</v>
      </c>
      <c r="AE369" s="21" t="n">
        <v>-10.027961</v>
      </c>
      <c r="AF369" s="21" t="n">
        <v>16.537561</v>
      </c>
      <c r="AG369" s="21" t="n">
        <v>15.430507</v>
      </c>
      <c r="AH369" s="21" t="n">
        <v>20.325953</v>
      </c>
      <c r="AI369" s="21" t="n"/>
      <c r="AJ369" s="21" t="n">
        <v>16.056416</v>
      </c>
      <c r="AK369" s="21" t="n">
        <v>16.604084</v>
      </c>
      <c r="AL369" s="21" t="inlineStr">
        <is>
          <t>Equity Scheme - Small Cap Fund</t>
        </is>
      </c>
      <c r="AM369" s="21" t="n">
        <v>1.54</v>
      </c>
      <c r="AN369" s="21" t="n">
        <v>0</v>
      </c>
      <c r="AO369" s="21" t="n">
        <v>0.05</v>
      </c>
      <c r="AP369" s="21" t="n">
        <v>0.07000000000000001</v>
      </c>
      <c r="AQ369" s="21" t="n">
        <v>1.66</v>
      </c>
      <c r="AR369" s="21" t="n">
        <v>0.48</v>
      </c>
      <c r="AS369" s="21" t="n">
        <v>0</v>
      </c>
      <c r="AT369" s="21" t="n">
        <v>0</v>
      </c>
      <c r="AU369" s="21" t="n">
        <v>0.07000000000000001</v>
      </c>
      <c r="AV369" s="21" t="n">
        <v>0.55</v>
      </c>
      <c r="AW369" s="17" t="n">
        <v>1.04476531578352</v>
      </c>
      <c r="AX369" s="18" t="inlineStr">
        <is>
          <t>-180cr</t>
        </is>
      </c>
      <c r="AY369" s="26" t="n">
        <v>1.868094738274005</v>
      </c>
      <c r="AZ369" s="26" t="n">
        <v>1.651840646370005</v>
      </c>
      <c r="BA369" s="26" t="n">
        <v>0.617761214627414</v>
      </c>
      <c r="BB369" s="28" t="n">
        <v>2</v>
      </c>
      <c r="BC369" t="n">
        <v>0</v>
      </c>
      <c r="BD369" t="n">
        <v>1</v>
      </c>
      <c r="BE369" t="n">
        <v>1</v>
      </c>
      <c r="BF369" t="n">
        <v>0</v>
      </c>
      <c r="BG369" t="n">
        <v>0</v>
      </c>
      <c r="BH369" t="n">
        <v>0</v>
      </c>
    </row>
    <row r="370">
      <c r="A370" s="21" t="inlineStr">
        <is>
          <t>LIC MF Small Cap Fund</t>
        </is>
      </c>
      <c r="B370" s="21" t="inlineStr">
        <is>
          <t>small cap</t>
        </is>
      </c>
      <c r="C370" s="21" t="inlineStr">
        <is>
          <t>Nifty Smallcap 250 TRI</t>
        </is>
      </c>
      <c r="D370" s="21" t="inlineStr">
        <is>
          <t>Very High</t>
        </is>
      </c>
      <c r="E370" s="21" t="inlineStr">
        <is>
          <t>Very High</t>
        </is>
      </c>
      <c r="F370" s="22" t="n">
        <v>46023</v>
      </c>
      <c r="G370" s="21" t="n">
        <v>29.4562</v>
      </c>
      <c r="H370" s="21" t="n">
        <v>33.1776</v>
      </c>
      <c r="I370" s="21" t="n">
        <v>-12.978841</v>
      </c>
      <c r="J370" s="21" t="n">
        <v>-6.580311499999999</v>
      </c>
      <c r="K370" s="21" t="n">
        <v>-6.3985295</v>
      </c>
      <c r="L370" s="21" t="n">
        <v>18.699675</v>
      </c>
      <c r="M370" s="21" t="n">
        <v>-2.676262000000001</v>
      </c>
      <c r="N370" s="21" t="n">
        <v>21.375937</v>
      </c>
      <c r="O370" s="21" t="n">
        <v>23.39634</v>
      </c>
      <c r="P370" s="21" t="n">
        <v>0.4062179999999991</v>
      </c>
      <c r="Q370" s="21" t="n">
        <v>22.990122</v>
      </c>
      <c r="R370" s="21" t="n"/>
      <c r="S370" s="21" t="n"/>
      <c r="T370" s="21" t="n"/>
      <c r="U370" s="21" t="n">
        <v>15.082795</v>
      </c>
      <c r="V370" s="21" t="n">
        <v>619.41</v>
      </c>
      <c r="W370" s="21" t="n">
        <v>-1.226452345022351</v>
      </c>
      <c r="X370" s="21" t="n">
        <v>-1.470532472344457</v>
      </c>
      <c r="Y370" s="21" t="n"/>
      <c r="Z370" s="21" t="n"/>
      <c r="AA370" s="21" t="n">
        <v>-0.3661890228570235</v>
      </c>
      <c r="AB370" s="21" t="n">
        <v>-0.5500812013151156</v>
      </c>
      <c r="AC370" s="21" t="n">
        <v>0.01877654866022006</v>
      </c>
      <c r="AD370" s="21" t="n">
        <v>-0.1418791203760326</v>
      </c>
      <c r="AE370" s="21" t="n">
        <v>-14.208657</v>
      </c>
      <c r="AF370" s="21" t="n"/>
      <c r="AG370" s="21" t="n">
        <v>17.357632</v>
      </c>
      <c r="AH370" s="21" t="n">
        <v>22.073647</v>
      </c>
      <c r="AI370" s="21" t="n">
        <v>13.419248</v>
      </c>
      <c r="AJ370" s="21" t="n">
        <v>13.419248</v>
      </c>
      <c r="AK370" s="21" t="n">
        <v>13.490137</v>
      </c>
      <c r="AL370" s="21" t="inlineStr">
        <is>
          <t>Equity Scheme - Small Cap Fund</t>
        </is>
      </c>
      <c r="AM370" s="21" t="n">
        <v>2.21</v>
      </c>
      <c r="AN370" s="21" t="n">
        <v>0</v>
      </c>
      <c r="AO370" s="21" t="n">
        <v>0.05</v>
      </c>
      <c r="AP370" s="21" t="n">
        <v>0.13</v>
      </c>
      <c r="AQ370" s="21" t="n">
        <v>2.39</v>
      </c>
      <c r="AR370" s="21" t="n">
        <v>0.86</v>
      </c>
      <c r="AS370" s="21" t="n">
        <v>0</v>
      </c>
      <c r="AT370" s="21" t="n">
        <v>0.05</v>
      </c>
      <c r="AU370" s="21" t="n">
        <v>0.13</v>
      </c>
      <c r="AV370" s="21" t="n">
        <v>1.04</v>
      </c>
      <c r="AW370" s="17" t="n">
        <v>-0.2970568767052386</v>
      </c>
      <c r="AX370" t="inlineStr">
        <is>
          <t>2cr</t>
        </is>
      </c>
      <c r="AY370" s="26" t="n">
        <v>2.204759268861607</v>
      </c>
      <c r="AZ370" s="26" t="n">
        <v>1.651840646370005</v>
      </c>
      <c r="BA370" s="26" t="n">
        <v>0.7321928737782049</v>
      </c>
      <c r="BB370" s="28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</row>
    <row r="371">
      <c r="A371" s="21" t="inlineStr">
        <is>
          <t>Mahindra Manulife Small Cap Fund</t>
        </is>
      </c>
      <c r="B371" s="21" t="inlineStr">
        <is>
          <t>small cap</t>
        </is>
      </c>
      <c r="C371" s="21" t="inlineStr">
        <is>
          <t>BSE 250 Smallcap TRI</t>
        </is>
      </c>
      <c r="D371" s="21" t="inlineStr">
        <is>
          <t>Very High</t>
        </is>
      </c>
      <c r="E371" s="21" t="inlineStr">
        <is>
          <t>Very High</t>
        </is>
      </c>
      <c r="F371" s="22" t="n">
        <v>46023</v>
      </c>
      <c r="G371" s="21" t="n">
        <v>19.3888</v>
      </c>
      <c r="H371" s="21" t="n">
        <v>20.3603</v>
      </c>
      <c r="I371" s="21" t="n">
        <v>-2.0814598</v>
      </c>
      <c r="J371" s="21" t="n">
        <v>3.8267672</v>
      </c>
      <c r="K371" s="21" t="n">
        <v>-5.908227</v>
      </c>
      <c r="L371" s="21" t="n">
        <v>26.956987</v>
      </c>
      <c r="M371" s="21" t="n">
        <v>6.604537000000001</v>
      </c>
      <c r="N371" s="21" t="n">
        <v>20.35245</v>
      </c>
      <c r="O371" s="21" t="n"/>
      <c r="P371" s="21" t="n"/>
      <c r="Q371" s="21" t="n"/>
      <c r="R371" s="21" t="n"/>
      <c r="S371" s="21" t="n"/>
      <c r="T371" s="21" t="n"/>
      <c r="U371" s="21" t="n">
        <v>26.180208</v>
      </c>
      <c r="V371" s="21" t="n">
        <v>4212.87</v>
      </c>
      <c r="W371" s="21" t="n">
        <v>0.9459298825081807</v>
      </c>
      <c r="X371" s="21" t="n">
        <v>0.5935937341702946</v>
      </c>
      <c r="Y371" s="21" t="n"/>
      <c r="Z371" s="21" t="n"/>
      <c r="AA371" s="21" t="n">
        <v>1.191608270818215</v>
      </c>
      <c r="AB371" s="21" t="n">
        <v>0.8350047440454642</v>
      </c>
      <c r="AC371" s="21" t="n"/>
      <c r="AD371" s="21" t="n"/>
      <c r="AE371" s="21" t="n">
        <v>-3.4686713</v>
      </c>
      <c r="AF371" s="21" t="n"/>
      <c r="AG371" s="21" t="n">
        <v>24.954641</v>
      </c>
      <c r="AH371" s="21" t="n"/>
      <c r="AI371" s="21" t="n">
        <v>18.892612</v>
      </c>
      <c r="AJ371" s="21" t="n">
        <v>18.892612</v>
      </c>
      <c r="AK371" s="21" t="n">
        <v>24.178576</v>
      </c>
      <c r="AL371" s="21" t="inlineStr">
        <is>
          <t>Equity Scheme - Small Cap Fund</t>
        </is>
      </c>
      <c r="AM371" s="21" t="n">
        <v>1.75</v>
      </c>
      <c r="AN371" s="21" t="n">
        <v>0</v>
      </c>
      <c r="AO371" s="21" t="n">
        <v>0.05</v>
      </c>
      <c r="AP371" s="21" t="n">
        <v>0.05</v>
      </c>
      <c r="AQ371" s="21" t="n">
        <v>1.85</v>
      </c>
      <c r="AR371" s="21" t="n">
        <v>0.34</v>
      </c>
      <c r="AS371" s="21" t="n">
        <v>0</v>
      </c>
      <c r="AT371" s="21" t="n">
        <v>0.05</v>
      </c>
      <c r="AU371" s="21" t="n">
        <v>0.05</v>
      </c>
      <c r="AV371" s="21" t="n">
        <v>0.44</v>
      </c>
      <c r="AW371" s="17" t="n">
        <v>0.3289918748976274</v>
      </c>
      <c r="AX371" s="18" t="inlineStr">
        <is>
          <t>-14cr</t>
        </is>
      </c>
      <c r="AY371" s="26" t="n">
        <v>1.583637153858935</v>
      </c>
      <c r="AZ371" s="26" t="n">
        <v>1.651840646370005</v>
      </c>
      <c r="BA371" s="26" t="n">
        <v>0.6788724295887038</v>
      </c>
      <c r="BB371" s="28" t="n">
        <v>5</v>
      </c>
      <c r="BC371" t="n">
        <v>1</v>
      </c>
      <c r="BD371" t="n">
        <v>1</v>
      </c>
      <c r="BE371" t="n">
        <v>1</v>
      </c>
      <c r="BF371" t="n">
        <v>1</v>
      </c>
      <c r="BG371" t="n">
        <v>0</v>
      </c>
      <c r="BH371" t="n">
        <v>1</v>
      </c>
    </row>
    <row r="372">
      <c r="A372" s="21" t="inlineStr">
        <is>
          <t>Mirae Asset Small Cap Fund</t>
        </is>
      </c>
      <c r="B372" s="21" t="inlineStr">
        <is>
          <t>small cap</t>
        </is>
      </c>
      <c r="C372" s="21" t="inlineStr">
        <is>
          <t>Nifty Smallcap 250 TRI</t>
        </is>
      </c>
      <c r="D372" s="21" t="inlineStr">
        <is>
          <t>Very High</t>
        </is>
      </c>
      <c r="E372" s="21" t="inlineStr">
        <is>
          <t>Very High</t>
        </is>
      </c>
      <c r="F372" s="22" t="n">
        <v>46023</v>
      </c>
      <c r="G372" s="21" t="n">
        <v>11.608</v>
      </c>
      <c r="H372" s="21" t="n">
        <v>11.783</v>
      </c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>
        <v>3050.85</v>
      </c>
      <c r="W372" s="21" t="n"/>
      <c r="X372" s="21" t="n"/>
      <c r="Y372" s="21" t="n"/>
      <c r="Z372" s="21" t="n"/>
      <c r="AA372" s="21" t="n"/>
      <c r="AB372" s="21" t="n"/>
      <c r="AC372" s="21" t="n"/>
      <c r="AD372" s="21" t="n"/>
      <c r="AE372" s="21" t="n"/>
      <c r="AF372" s="21" t="n"/>
      <c r="AG372" s="21" t="n"/>
      <c r="AH372" s="21" t="n"/>
      <c r="AI372" s="21" t="n"/>
      <c r="AJ372" s="21" t="n"/>
      <c r="AK372" s="21" t="n"/>
      <c r="AL372" s="21" t="inlineStr">
        <is>
          <t>Equity Scheme - Small Cap Fund</t>
        </is>
      </c>
      <c r="AM372" s="21" t="n">
        <v>1.8</v>
      </c>
      <c r="AN372" s="21" t="n">
        <v>0</v>
      </c>
      <c r="AO372" s="21" t="n">
        <v>0.05</v>
      </c>
      <c r="AP372" s="21" t="n">
        <v>0.04</v>
      </c>
      <c r="AQ372" s="21" t="n">
        <v>1.89</v>
      </c>
      <c r="AR372" s="21" t="n">
        <v>0.34</v>
      </c>
      <c r="AS372" s="21" t="n">
        <v>0</v>
      </c>
      <c r="AT372" s="21" t="n">
        <v>0.05</v>
      </c>
      <c r="AU372" s="21" t="n">
        <v>0.04</v>
      </c>
      <c r="AV372" s="21" t="n">
        <v>0.43</v>
      </c>
      <c r="AW372" s="17" t="n">
        <v>-5.546650933346438</v>
      </c>
      <c r="AX372" t="inlineStr">
        <is>
          <t>169cr</t>
        </is>
      </c>
      <c r="AY372" s="26" t="n">
        <v>1.557457559432258</v>
      </c>
      <c r="AZ372" s="26" t="n">
        <v>1.651840646370005</v>
      </c>
      <c r="BA372" s="26" t="n">
        <v>0.5749375582194158</v>
      </c>
      <c r="BB372" s="28" t="n">
        <v>2</v>
      </c>
      <c r="BC372" t="n">
        <v>0</v>
      </c>
      <c r="BD372" t="n">
        <v>0</v>
      </c>
      <c r="BE372" t="n">
        <v>1</v>
      </c>
      <c r="BF372" t="n">
        <v>0</v>
      </c>
      <c r="BG372" t="n">
        <v>0</v>
      </c>
      <c r="BH372" t="n">
        <v>1</v>
      </c>
    </row>
    <row r="373">
      <c r="A373" s="21" t="inlineStr">
        <is>
          <t>Motilal Oswal Small Cap Fund</t>
        </is>
      </c>
      <c r="B373" s="21" t="inlineStr">
        <is>
          <t>small cap</t>
        </is>
      </c>
      <c r="C373" s="21" t="inlineStr">
        <is>
          <t>Nifty Smallcap 250 TRI</t>
        </is>
      </c>
      <c r="D373" s="21" t="inlineStr">
        <is>
          <t>Very High</t>
        </is>
      </c>
      <c r="E373" s="21" t="inlineStr">
        <is>
          <t>Very High</t>
        </is>
      </c>
      <c r="F373" s="22" t="n">
        <v>46023</v>
      </c>
      <c r="G373" s="21" t="n">
        <v>13.9308</v>
      </c>
      <c r="H373" s="21" t="n">
        <v>14.3246</v>
      </c>
      <c r="I373" s="21" t="n">
        <v>-5.124418</v>
      </c>
      <c r="J373" s="21" t="n">
        <v>1.2741115</v>
      </c>
      <c r="K373" s="21" t="n">
        <v>-6.3985295</v>
      </c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>
        <v>19.481321</v>
      </c>
      <c r="V373" s="21" t="n">
        <v>5833.77</v>
      </c>
      <c r="W373" s="21" t="n">
        <v>0.1523744893039577</v>
      </c>
      <c r="X373" s="21" t="n">
        <v>-0.04740044585541435</v>
      </c>
      <c r="Y373" s="21" t="n"/>
      <c r="Z373" s="21" t="n"/>
      <c r="AA373" s="21" t="n"/>
      <c r="AB373" s="21" t="n"/>
      <c r="AC373" s="21" t="n"/>
      <c r="AD373" s="21" t="n"/>
      <c r="AE373" s="21" t="n">
        <v>-6.336229</v>
      </c>
      <c r="AF373" s="21" t="n"/>
      <c r="AG373" s="21" t="n"/>
      <c r="AH373" s="21" t="n"/>
      <c r="AI373" s="21" t="n">
        <v>10.319833</v>
      </c>
      <c r="AJ373" s="21" t="n">
        <v>10.319833</v>
      </c>
      <c r="AK373" s="21" t="n">
        <v>17.843136</v>
      </c>
      <c r="AL373" s="21" t="inlineStr">
        <is>
          <t>Equity Scheme - Small Cap Fund</t>
        </is>
      </c>
      <c r="AM373" s="21" t="n">
        <v>1.7</v>
      </c>
      <c r="AN373" s="21" t="n">
        <v>0</v>
      </c>
      <c r="AO373" s="21" t="n">
        <v>0.05</v>
      </c>
      <c r="AP373" s="21" t="n">
        <v>0.09</v>
      </c>
      <c r="AQ373" s="21" t="n">
        <v>1.84</v>
      </c>
      <c r="AR373" s="21" t="n">
        <v>0.59</v>
      </c>
      <c r="AS373" s="21" t="n">
        <v>0</v>
      </c>
      <c r="AT373" s="21" t="n">
        <v>0.05</v>
      </c>
      <c r="AU373" s="21" t="n">
        <v>0.09</v>
      </c>
      <c r="AV373" s="21" t="n">
        <v>0.73</v>
      </c>
      <c r="AW373" s="17" t="n">
        <v>0.7257742420424397</v>
      </c>
      <c r="AX373" s="18" t="inlineStr">
        <is>
          <t>-42cr</t>
        </is>
      </c>
      <c r="AY373" s="26" t="n">
        <v>1.884666980809888</v>
      </c>
      <c r="AZ373" s="26" t="n">
        <v>1.651840646370005</v>
      </c>
      <c r="BA373" s="26" t="n">
        <v>0.7361970650869875</v>
      </c>
      <c r="BB373" s="28" t="n">
        <v>2</v>
      </c>
      <c r="BC373" t="n">
        <v>0</v>
      </c>
      <c r="BD373" t="n">
        <v>1</v>
      </c>
      <c r="BE373" t="n">
        <v>0</v>
      </c>
      <c r="BF373" t="n">
        <v>1</v>
      </c>
      <c r="BG373" t="n">
        <v>0</v>
      </c>
      <c r="BH373" t="n">
        <v>0</v>
      </c>
    </row>
    <row r="374">
      <c r="A374" s="21" t="inlineStr">
        <is>
          <t>Nippon India Small Cap Fund</t>
        </is>
      </c>
      <c r="B374" s="21" t="inlineStr">
        <is>
          <t>small cap</t>
        </is>
      </c>
      <c r="C374" s="21" t="inlineStr">
        <is>
          <t>Nifty Smallcap 250 TRI</t>
        </is>
      </c>
      <c r="D374" s="21" t="inlineStr">
        <is>
          <t>Very High</t>
        </is>
      </c>
      <c r="E374" s="21" t="inlineStr">
        <is>
          <t>Very High</t>
        </is>
      </c>
      <c r="F374" s="22" t="n">
        <v>46023</v>
      </c>
      <c r="G374" s="21" t="n">
        <v>166.2226</v>
      </c>
      <c r="H374" s="21" t="n">
        <v>186.9062</v>
      </c>
      <c r="I374" s="21" t="n">
        <v>-4.760687</v>
      </c>
      <c r="J374" s="21" t="n">
        <v>1.637842500000001</v>
      </c>
      <c r="K374" s="21" t="n">
        <v>-6.3985295</v>
      </c>
      <c r="L374" s="21" t="n">
        <v>22.253368</v>
      </c>
      <c r="M374" s="21" t="n">
        <v>0.8774309999999979</v>
      </c>
      <c r="N374" s="21" t="n">
        <v>21.375937</v>
      </c>
      <c r="O374" s="21" t="n">
        <v>27.914173</v>
      </c>
      <c r="P374" s="21" t="n">
        <v>4.924051000000002</v>
      </c>
      <c r="Q374" s="21" t="n">
        <v>22.990122</v>
      </c>
      <c r="R374" s="21" t="n">
        <v>20.619007</v>
      </c>
      <c r="S374" s="21" t="n">
        <v>5.965977000000001</v>
      </c>
      <c r="T374" s="21" t="n">
        <v>14.65303</v>
      </c>
      <c r="U374" s="21" t="n">
        <v>21.085</v>
      </c>
      <c r="V374" s="21" t="n">
        <v>68225.34</v>
      </c>
      <c r="W374" s="21" t="n">
        <v>0.3062725752088762</v>
      </c>
      <c r="X374" s="21" t="n">
        <v>0.1203147600227659</v>
      </c>
      <c r="Y374" s="21" t="n">
        <v>1.026834787908123</v>
      </c>
      <c r="Z374" s="21" t="n">
        <v>0.8232699939990139</v>
      </c>
      <c r="AA374" s="21" t="n">
        <v>0.0765516221058236</v>
      </c>
      <c r="AB374" s="21" t="n">
        <v>-0.1105879938227351</v>
      </c>
      <c r="AC374" s="21" t="n">
        <v>0.8019749645091568</v>
      </c>
      <c r="AD374" s="21" t="n">
        <v>0.6155808570880443</v>
      </c>
      <c r="AE374" s="21" t="n">
        <v>-5.4784884</v>
      </c>
      <c r="AF374" s="21" t="n">
        <v>19.483212</v>
      </c>
      <c r="AG374" s="21" t="n">
        <v>21.291233</v>
      </c>
      <c r="AH374" s="21" t="n">
        <v>26.852253</v>
      </c>
      <c r="AI374" s="21" t="n">
        <v>12.755504</v>
      </c>
      <c r="AJ374" s="21" t="n">
        <v>12.755504</v>
      </c>
      <c r="AK374" s="21" t="n">
        <v>20.160643</v>
      </c>
      <c r="AL374" s="21" t="inlineStr">
        <is>
          <t>Equity Scheme - Small Cap Fund</t>
        </is>
      </c>
      <c r="AM374" s="21" t="n">
        <v>1.27</v>
      </c>
      <c r="AN374" s="21" t="n">
        <v>0</v>
      </c>
      <c r="AO374" s="21" t="n">
        <v>0.05</v>
      </c>
      <c r="AP374" s="21" t="n">
        <v>0.09</v>
      </c>
      <c r="AQ374" s="21" t="n">
        <v>1.41</v>
      </c>
      <c r="AR374" s="21" t="n">
        <v>0.52</v>
      </c>
      <c r="AS374" s="21" t="n">
        <v>0</v>
      </c>
      <c r="AT374" s="21" t="n">
        <v>0.05</v>
      </c>
      <c r="AU374" s="21" t="n">
        <v>0.09</v>
      </c>
      <c r="AV374" s="21" t="n">
        <v>0.66</v>
      </c>
      <c r="AW374" s="17" t="n">
        <v>0.4730353853861491</v>
      </c>
      <c r="AX374" s="18" t="inlineStr">
        <is>
          <t>-323cr</t>
        </is>
      </c>
      <c r="AY374" s="26" t="n">
        <v>1.431615219577285</v>
      </c>
      <c r="AZ374" s="26" t="n">
        <v>1.651840646370005</v>
      </c>
      <c r="BA374" s="26" t="n">
        <v>0.589149505671389</v>
      </c>
      <c r="BB374" s="28" t="n">
        <v>3</v>
      </c>
      <c r="BC374" t="n">
        <v>0</v>
      </c>
      <c r="BD374" t="n">
        <v>1</v>
      </c>
      <c r="BE374" t="n">
        <v>0</v>
      </c>
      <c r="BF374" t="n">
        <v>1</v>
      </c>
      <c r="BG374" t="n">
        <v>0</v>
      </c>
      <c r="BH374" t="n">
        <v>1</v>
      </c>
    </row>
    <row r="375">
      <c r="A375" s="21" t="inlineStr">
        <is>
          <t>PGIM India Small Cap Fund</t>
        </is>
      </c>
      <c r="B375" s="21" t="inlineStr">
        <is>
          <t>small cap</t>
        </is>
      </c>
      <c r="C375" s="21" t="inlineStr">
        <is>
          <t>Nifty Smallcap 250 TRI</t>
        </is>
      </c>
      <c r="D375" s="21" t="inlineStr">
        <is>
          <t>Very High</t>
        </is>
      </c>
      <c r="E375" s="21" t="inlineStr">
        <is>
          <t>Very High</t>
        </is>
      </c>
      <c r="F375" s="22" t="n">
        <v>46023</v>
      </c>
      <c r="G375" s="21" t="n">
        <v>15.96</v>
      </c>
      <c r="H375" s="21" t="n">
        <v>17.19</v>
      </c>
      <c r="I375" s="21" t="n">
        <v>0.2917153</v>
      </c>
      <c r="J375" s="21" t="n">
        <v>6.6902448</v>
      </c>
      <c r="K375" s="21" t="n">
        <v>-6.3985295</v>
      </c>
      <c r="L375" s="21" t="n">
        <v>15.511525</v>
      </c>
      <c r="M375" s="21" t="n">
        <v>-5.864412</v>
      </c>
      <c r="N375" s="21" t="n">
        <v>21.375937</v>
      </c>
      <c r="O375" s="21" t="n"/>
      <c r="P375" s="21" t="n"/>
      <c r="Q375" s="21" t="n"/>
      <c r="R375" s="21" t="n"/>
      <c r="S375" s="21" t="n"/>
      <c r="T375" s="21" t="n"/>
      <c r="U375" s="21" t="n">
        <v>13.0077</v>
      </c>
      <c r="V375" s="21" t="n">
        <v>1557.82</v>
      </c>
      <c r="W375" s="21" t="n">
        <v>1.079833602894263</v>
      </c>
      <c r="X375" s="21" t="n">
        <v>0.8332366366943864</v>
      </c>
      <c r="Y375" s="21" t="n"/>
      <c r="Z375" s="21" t="n"/>
      <c r="AA375" s="21" t="n">
        <v>-0.7882777176671976</v>
      </c>
      <c r="AB375" s="21" t="n">
        <v>-1.004057313072661</v>
      </c>
      <c r="AC375" s="21" t="n"/>
      <c r="AD375" s="21" t="n"/>
      <c r="AE375" s="21" t="n">
        <v>-1.1764706</v>
      </c>
      <c r="AF375" s="21" t="n"/>
      <c r="AG375" s="21" t="n">
        <v>13.757866</v>
      </c>
      <c r="AH375" s="21" t="n"/>
      <c r="AI375" s="21" t="n">
        <v>15.544107</v>
      </c>
      <c r="AJ375" s="21" t="n">
        <v>15.544107</v>
      </c>
      <c r="AK375" s="21" t="n">
        <v>11.129647</v>
      </c>
      <c r="AL375" s="21" t="inlineStr">
        <is>
          <t>Equity Scheme - Small Cap Fund</t>
        </is>
      </c>
      <c r="AM375" s="21" t="n">
        <v>1.96</v>
      </c>
      <c r="AN375" s="21" t="n">
        <v>0</v>
      </c>
      <c r="AO375" s="21" t="n">
        <v>0.05</v>
      </c>
      <c r="AP375" s="21" t="n">
        <v>0.07000000000000001</v>
      </c>
      <c r="AQ375" s="21" t="n">
        <v>2.08</v>
      </c>
      <c r="AR375" s="21" t="n">
        <v>0.45</v>
      </c>
      <c r="AS375" s="21" t="n">
        <v>0</v>
      </c>
      <c r="AT375" s="21" t="n">
        <v>0.05</v>
      </c>
      <c r="AU375" s="21" t="n">
        <v>0.07000000000000001</v>
      </c>
      <c r="AV375" s="21" t="n">
        <v>0.57</v>
      </c>
      <c r="AW375" s="17" t="n">
        <v>2.556136138963434</v>
      </c>
      <c r="AX375" s="18" t="inlineStr">
        <is>
          <t>-40cr</t>
        </is>
      </c>
      <c r="AY375" s="26" t="n">
        <v>1.623557947105924</v>
      </c>
      <c r="AZ375" s="26" t="n">
        <v>1.651840646370005</v>
      </c>
      <c r="BA375" s="26" t="n">
        <v>0.6080568509761872</v>
      </c>
      <c r="BB375" s="28" t="n">
        <v>6</v>
      </c>
      <c r="BC375" t="n">
        <v>1</v>
      </c>
      <c r="BD375" t="n">
        <v>1</v>
      </c>
      <c r="BE375" t="n">
        <v>1</v>
      </c>
      <c r="BF375" t="n">
        <v>1</v>
      </c>
      <c r="BG375" t="n">
        <v>1</v>
      </c>
      <c r="BH375" t="n">
        <v>1</v>
      </c>
    </row>
    <row r="376">
      <c r="A376" s="21" t="inlineStr">
        <is>
          <t>Quantum Small Cap Fund</t>
        </is>
      </c>
      <c r="B376" s="21" t="inlineStr">
        <is>
          <t>small cap</t>
        </is>
      </c>
      <c r="C376" s="21" t="inlineStr">
        <is>
          <t>BSE 250 Smallcap TRI</t>
        </is>
      </c>
      <c r="D376" s="21" t="inlineStr">
        <is>
          <t>Very High</t>
        </is>
      </c>
      <c r="E376" s="21" t="inlineStr">
        <is>
          <t>Very High</t>
        </is>
      </c>
      <c r="F376" s="22" t="n">
        <v>46023</v>
      </c>
      <c r="G376" s="21" t="n">
        <v>12.66</v>
      </c>
      <c r="H376" s="21" t="n">
        <v>13.08</v>
      </c>
      <c r="I376" s="21" t="n">
        <v>5.0602407</v>
      </c>
      <c r="J376" s="21" t="n">
        <v>10.9684677</v>
      </c>
      <c r="K376" s="21" t="n">
        <v>-5.908227</v>
      </c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>
        <v>13.207638</v>
      </c>
      <c r="V376" s="21" t="n">
        <v>178.38</v>
      </c>
      <c r="W376" s="21" t="n">
        <v>1.418080309577095</v>
      </c>
      <c r="X376" s="21" t="n">
        <v>1.201661357892283</v>
      </c>
      <c r="Y376" s="21" t="n"/>
      <c r="Z376" s="21" t="n"/>
      <c r="AA376" s="21" t="n"/>
      <c r="AB376" s="21" t="n"/>
      <c r="AC376" s="21" t="n"/>
      <c r="AD376" s="21" t="n"/>
      <c r="AE376" s="21" t="n">
        <v>3.5159445</v>
      </c>
      <c r="AF376" s="21" t="n"/>
      <c r="AG376" s="21" t="n"/>
      <c r="AH376" s="21" t="n"/>
      <c r="AI376" s="21" t="n">
        <v>15.079683</v>
      </c>
      <c r="AJ376" s="21" t="n">
        <v>15.079683</v>
      </c>
      <c r="AK376" s="21" t="n">
        <v>11.513376</v>
      </c>
      <c r="AL376" s="21" t="inlineStr">
        <is>
          <t>Equity Scheme - Small Cap Fund</t>
        </is>
      </c>
      <c r="AM376" s="21" t="n">
        <v>2.1</v>
      </c>
      <c r="AN376" s="21" t="n">
        <v>0</v>
      </c>
      <c r="AO376" s="21" t="n">
        <v>0</v>
      </c>
      <c r="AP376" s="21" t="n">
        <v>0.07000000000000001</v>
      </c>
      <c r="AQ376" s="21" t="n">
        <v>2.17</v>
      </c>
      <c r="AR376" s="21" t="n">
        <v>0.63</v>
      </c>
      <c r="AS376" s="21" t="n">
        <v>0</v>
      </c>
      <c r="AT376" s="21" t="n">
        <v>0</v>
      </c>
      <c r="AU376" s="21" t="n">
        <v>0.07000000000000001</v>
      </c>
      <c r="AV376" s="21" t="n">
        <v>0.7</v>
      </c>
      <c r="AW376" s="17" t="n">
        <v>-3.548604103599049</v>
      </c>
      <c r="AX376" t="inlineStr">
        <is>
          <t>6cr</t>
        </is>
      </c>
      <c r="AY376" s="26" t="n">
        <v>1.100345824570068</v>
      </c>
      <c r="AZ376" s="26" t="n">
        <v>1.651840646370005</v>
      </c>
      <c r="BA376" s="26" t="n">
        <v>0.6074322605563413</v>
      </c>
      <c r="BB376" s="28" t="n">
        <v>4</v>
      </c>
      <c r="BC376" t="n">
        <v>1</v>
      </c>
      <c r="BD376" t="n">
        <v>0</v>
      </c>
      <c r="BE376" t="n">
        <v>0</v>
      </c>
      <c r="BF376" t="n">
        <v>1</v>
      </c>
      <c r="BG376" t="n">
        <v>1</v>
      </c>
      <c r="BH376" t="n">
        <v>1</v>
      </c>
    </row>
    <row r="377">
      <c r="A377" s="21" t="inlineStr">
        <is>
          <t>Sundaram Small Cap Fund</t>
        </is>
      </c>
      <c r="B377" s="21" t="inlineStr">
        <is>
          <t>small cap</t>
        </is>
      </c>
      <c r="C377" s="21" t="inlineStr">
        <is>
          <t>Nifty Smallcap 250 TRI</t>
        </is>
      </c>
      <c r="D377" s="21" t="inlineStr">
        <is>
          <t>Very High</t>
        </is>
      </c>
      <c r="E377" s="21" t="inlineStr">
        <is>
          <t>Very High</t>
        </is>
      </c>
      <c r="F377" s="22" t="n">
        <v>46023</v>
      </c>
      <c r="G377" s="21" t="n">
        <v>260.745</v>
      </c>
      <c r="H377" s="21" t="n">
        <v>290.0792</v>
      </c>
      <c r="I377" s="21" t="n">
        <v>1.2355744</v>
      </c>
      <c r="J377" s="21" t="n">
        <v>7.6341039</v>
      </c>
      <c r="K377" s="21" t="n">
        <v>-6.3985295</v>
      </c>
      <c r="L377" s="21" t="n">
        <v>21.64477</v>
      </c>
      <c r="M377" s="21" t="n">
        <v>0.2688330000000008</v>
      </c>
      <c r="N377" s="21" t="n">
        <v>21.375937</v>
      </c>
      <c r="O377" s="21" t="n">
        <v>23.385431</v>
      </c>
      <c r="P377" s="21" t="n">
        <v>0.395309000000001</v>
      </c>
      <c r="Q377" s="21" t="n">
        <v>22.990122</v>
      </c>
      <c r="R377" s="21" t="n">
        <v>14.494454</v>
      </c>
      <c r="S377" s="21" t="n">
        <v>-0.1585760000000001</v>
      </c>
      <c r="T377" s="21" t="n">
        <v>14.65303</v>
      </c>
      <c r="U377" s="21" t="n">
        <v>17.781425</v>
      </c>
      <c r="V377" s="21" t="n">
        <v>3415.36</v>
      </c>
      <c r="W377" s="21" t="n">
        <v>1.394072764633563</v>
      </c>
      <c r="X377" s="21" t="n">
        <v>1.19041880741885</v>
      </c>
      <c r="Y377" s="21" t="n">
        <v>-0.07902120427973491</v>
      </c>
      <c r="Z377" s="21" t="n">
        <v>-0.2332863303045177</v>
      </c>
      <c r="AA377" s="21" t="n">
        <v>-0.05028052689546179</v>
      </c>
      <c r="AB377" s="21" t="n">
        <v>-0.2426718727783437</v>
      </c>
      <c r="AC377" s="21" t="n">
        <v>-0.02981587527154531</v>
      </c>
      <c r="AD377" s="21" t="n">
        <v>-0.215840086271826</v>
      </c>
      <c r="AE377" s="21" t="n">
        <v>0.15541191</v>
      </c>
      <c r="AF377" s="21" t="n">
        <v>13.450054</v>
      </c>
      <c r="AG377" s="21" t="n">
        <v>20.319366</v>
      </c>
      <c r="AH377" s="21" t="n">
        <v>22.03187</v>
      </c>
      <c r="AI377" s="21" t="n"/>
      <c r="AJ377" s="21" t="n">
        <v>16.056416</v>
      </c>
      <c r="AK377" s="21" t="n">
        <v>16.894112</v>
      </c>
      <c r="AL377" s="21" t="inlineStr">
        <is>
          <t>Equity Scheme - Small Cap Fund</t>
        </is>
      </c>
      <c r="AM377" s="21" t="n">
        <v>1.78</v>
      </c>
      <c r="AN377" s="21" t="n">
        <v>0</v>
      </c>
      <c r="AO377" s="21" t="n">
        <v>0.05</v>
      </c>
      <c r="AP377" s="21" t="n">
        <v>0.11</v>
      </c>
      <c r="AQ377" s="21" t="n">
        <v>1.94</v>
      </c>
      <c r="AR377" s="21" t="n">
        <v>0.67</v>
      </c>
      <c r="AS377" s="21" t="n">
        <v>0</v>
      </c>
      <c r="AT377" s="21" t="n">
        <v>0.05</v>
      </c>
      <c r="AU377" s="21" t="n">
        <v>0.11</v>
      </c>
      <c r="AV377" s="21" t="n">
        <v>0.83</v>
      </c>
      <c r="AW377" s="17" t="n">
        <v>1.294739061182417</v>
      </c>
      <c r="AX377" s="18" t="inlineStr">
        <is>
          <t>-44cr</t>
        </is>
      </c>
      <c r="AY377" s="26" t="n">
        <v>1.407619687353514</v>
      </c>
      <c r="AZ377" s="26" t="n">
        <v>1.651840646370005</v>
      </c>
      <c r="BA377" s="26" t="n">
        <v>0.623068839477436</v>
      </c>
      <c r="BB377" s="28" t="n">
        <v>5</v>
      </c>
      <c r="BC377" t="n">
        <v>1</v>
      </c>
      <c r="BD377" t="n">
        <v>1</v>
      </c>
      <c r="BE377" t="n">
        <v>0</v>
      </c>
      <c r="BF377" t="n">
        <v>1</v>
      </c>
      <c r="BG377" t="n">
        <v>1</v>
      </c>
      <c r="BH377" t="n">
        <v>1</v>
      </c>
    </row>
    <row r="378">
      <c r="A378" s="21" t="inlineStr">
        <is>
          <t>Tata Small Cap Fund</t>
        </is>
      </c>
      <c r="B378" s="21" t="inlineStr">
        <is>
          <t>small cap</t>
        </is>
      </c>
      <c r="C378" s="21" t="inlineStr">
        <is>
          <t>Nifty Smallcap 250 TRI</t>
        </is>
      </c>
      <c r="D378" s="21" t="inlineStr">
        <is>
          <t>Very High</t>
        </is>
      </c>
      <c r="E378" s="21" t="inlineStr">
        <is>
          <t>Very High</t>
        </is>
      </c>
      <c r="F378" s="22" t="n">
        <v>46023</v>
      </c>
      <c r="G378" s="21" t="n">
        <v>36.7845</v>
      </c>
      <c r="H378" s="21" t="n">
        <v>41.5603</v>
      </c>
      <c r="I378" s="21" t="n">
        <v>-11.930231</v>
      </c>
      <c r="J378" s="21" t="n">
        <v>-5.531701499999999</v>
      </c>
      <c r="K378" s="21" t="n">
        <v>-6.3985295</v>
      </c>
      <c r="L378" s="21" t="n">
        <v>17.088173</v>
      </c>
      <c r="M378" s="21" t="n">
        <v>-4.287763999999999</v>
      </c>
      <c r="N378" s="21" t="n">
        <v>21.375937</v>
      </c>
      <c r="O378" s="21" t="n">
        <v>25.029314</v>
      </c>
      <c r="P378" s="21" t="n">
        <v>2.039192</v>
      </c>
      <c r="Q378" s="21" t="n">
        <v>22.990122</v>
      </c>
      <c r="R378" s="21" t="n"/>
      <c r="S378" s="21" t="n"/>
      <c r="T378" s="21" t="n"/>
      <c r="U378" s="21" t="n">
        <v>22.07304</v>
      </c>
      <c r="V378" s="21" t="n">
        <v>11321.81</v>
      </c>
      <c r="W378" s="21" t="n">
        <v>-1.060531703001733</v>
      </c>
      <c r="X378" s="21" t="n">
        <v>-1.282716480828765</v>
      </c>
      <c r="Y378" s="21" t="n"/>
      <c r="Z378" s="21" t="n"/>
      <c r="AA378" s="21" t="n">
        <v>-0.6222336475937011</v>
      </c>
      <c r="AB378" s="21" t="n">
        <v>-0.849692957636903</v>
      </c>
      <c r="AC378" s="21" t="n">
        <v>0.1742449648946036</v>
      </c>
      <c r="AD378" s="21" t="n">
        <v>-0.0539970324191285</v>
      </c>
      <c r="AE378" s="21" t="n">
        <v>-13.107617</v>
      </c>
      <c r="AF378" s="21" t="n"/>
      <c r="AG378" s="21" t="n">
        <v>15.412212</v>
      </c>
      <c r="AH378" s="21" t="n">
        <v>23.035032</v>
      </c>
      <c r="AI378" s="21" t="n">
        <v>18.708645</v>
      </c>
      <c r="AJ378" s="21" t="n">
        <v>18.708645</v>
      </c>
      <c r="AK378" s="21" t="n">
        <v>20.004469</v>
      </c>
      <c r="AL378" s="21" t="inlineStr">
        <is>
          <t>Equity Scheme - Small Cap Fund</t>
        </is>
      </c>
      <c r="AM378" s="21" t="n">
        <v>1.59</v>
      </c>
      <c r="AN378" s="21" t="n">
        <v>0</v>
      </c>
      <c r="AO378" s="21" t="n">
        <v>0.05</v>
      </c>
      <c r="AP378" s="21" t="n">
        <v>0.04</v>
      </c>
      <c r="AQ378" s="21" t="n">
        <v>1.68</v>
      </c>
      <c r="AR378" s="21" t="n">
        <v>0.32</v>
      </c>
      <c r="AS378" s="21" t="n">
        <v>0</v>
      </c>
      <c r="AT378" s="21" t="n">
        <v>0.05</v>
      </c>
      <c r="AU378" s="21" t="n">
        <v>0.04</v>
      </c>
      <c r="AV378" s="21" t="n">
        <v>0.41</v>
      </c>
      <c r="AW378" s="17" t="n">
        <v>0.5703151704541917</v>
      </c>
      <c r="AX378" s="18" t="inlineStr">
        <is>
          <t>-65cr</t>
        </is>
      </c>
      <c r="AY378" s="26" t="n">
        <v>2.94937511174554</v>
      </c>
      <c r="AZ378" s="26" t="n">
        <v>1.651840646370005</v>
      </c>
      <c r="BA378" s="26" t="n">
        <v>0.6218832162692358</v>
      </c>
      <c r="BB378" s="28" t="n">
        <v>2</v>
      </c>
      <c r="BC378" t="n">
        <v>0</v>
      </c>
      <c r="BD378" t="n">
        <v>1</v>
      </c>
      <c r="BE378" t="n">
        <v>1</v>
      </c>
      <c r="BF378" t="n">
        <v>0</v>
      </c>
      <c r="BG378" t="n">
        <v>0</v>
      </c>
      <c r="BH378" t="n">
        <v>0</v>
      </c>
    </row>
    <row r="379">
      <c r="A379" s="21" t="inlineStr">
        <is>
          <t>Union Small Cap Fund</t>
        </is>
      </c>
      <c r="B379" s="21" t="inlineStr">
        <is>
          <t>small cap</t>
        </is>
      </c>
      <c r="C379" s="21" t="inlineStr">
        <is>
          <t>BSE 250 Smallcap TRI</t>
        </is>
      </c>
      <c r="D379" s="21" t="inlineStr">
        <is>
          <t>Very High</t>
        </is>
      </c>
      <c r="E379" s="21" t="inlineStr">
        <is>
          <t>Very High</t>
        </is>
      </c>
      <c r="F379" s="22" t="n">
        <v>46023</v>
      </c>
      <c r="G379" s="21" t="n">
        <v>48.99</v>
      </c>
      <c r="H379" s="21" t="n">
        <v>54.38</v>
      </c>
      <c r="I379" s="21" t="n">
        <v>-4.2268405</v>
      </c>
      <c r="J379" s="21" t="n">
        <v>1.6813865</v>
      </c>
      <c r="K379" s="21" t="n">
        <v>-5.908227</v>
      </c>
      <c r="L379" s="21" t="n">
        <v>20.041647</v>
      </c>
      <c r="M379" s="21" t="n">
        <v>-0.3108029999999999</v>
      </c>
      <c r="N379" s="21" t="n">
        <v>20.35245</v>
      </c>
      <c r="O379" s="21" t="n">
        <v>22.89189</v>
      </c>
      <c r="P379" s="21" t="n">
        <v>0.7139360000000003</v>
      </c>
      <c r="Q379" s="21" t="n">
        <v>22.177954</v>
      </c>
      <c r="R379" s="21" t="n">
        <v>15.650059</v>
      </c>
      <c r="S379" s="21" t="n">
        <v>0.9489619999999999</v>
      </c>
      <c r="T379" s="21" t="n">
        <v>14.701097</v>
      </c>
      <c r="U379" s="21" t="n">
        <v>15.761747</v>
      </c>
      <c r="V379" s="21" t="n">
        <v>1750.89</v>
      </c>
      <c r="W379" s="21" t="n">
        <v>0.3367840305619367</v>
      </c>
      <c r="X379" s="21" t="n">
        <v>0.1368419789167671</v>
      </c>
      <c r="Y379" s="21" t="n">
        <v>0.06947885457676357</v>
      </c>
      <c r="Z379" s="21" t="n">
        <v>-0.07111593778157742</v>
      </c>
      <c r="AA379" s="21" t="n">
        <v>-0.05594921770852383</v>
      </c>
      <c r="AB379" s="21" t="n">
        <v>-0.261947895281975</v>
      </c>
      <c r="AC379" s="21" t="n">
        <v>0.05847241477096021</v>
      </c>
      <c r="AD379" s="21" t="n">
        <v>-0.1086744627731392</v>
      </c>
      <c r="AE379" s="21" t="n">
        <v>-5.3333335</v>
      </c>
      <c r="AF379" s="21" t="n">
        <v>14.577092</v>
      </c>
      <c r="AG379" s="21" t="n">
        <v>18.647676</v>
      </c>
      <c r="AH379" s="21" t="n">
        <v>21.608568</v>
      </c>
      <c r="AI379" s="21" t="n">
        <v>13.861185</v>
      </c>
      <c r="AJ379" s="21" t="n">
        <v>13.861185</v>
      </c>
      <c r="AK379" s="21" t="n">
        <v>14.722073</v>
      </c>
      <c r="AL379" s="21" t="inlineStr">
        <is>
          <t>Equity Scheme - Small Cap Fund</t>
        </is>
      </c>
      <c r="AM379" s="21" t="n">
        <v>1.93</v>
      </c>
      <c r="AN379" s="21" t="n">
        <v>0</v>
      </c>
      <c r="AO379" s="21" t="n">
        <v>0.05</v>
      </c>
      <c r="AP379" s="21" t="n">
        <v>0.12</v>
      </c>
      <c r="AQ379" s="21" t="n">
        <v>2.1</v>
      </c>
      <c r="AR379" s="21" t="n">
        <v>0.79</v>
      </c>
      <c r="AS379" s="21" t="n">
        <v>0</v>
      </c>
      <c r="AT379" s="21" t="n">
        <v>0.05</v>
      </c>
      <c r="AU379" s="21" t="n">
        <v>0.12</v>
      </c>
      <c r="AV379" s="21" t="n">
        <v>0.96</v>
      </c>
      <c r="AW379" s="17" t="n">
        <v>1.529507850293278</v>
      </c>
      <c r="AX379" s="18" t="inlineStr">
        <is>
          <t>-27cr</t>
        </is>
      </c>
      <c r="AY379" s="26" t="n">
        <v>1.7812551747581</v>
      </c>
      <c r="AZ379" s="26" t="n">
        <v>1.651840646370005</v>
      </c>
      <c r="BA379" s="26" t="n">
        <v>0.7822636634040063</v>
      </c>
      <c r="BB379" s="28" t="n">
        <v>3</v>
      </c>
      <c r="BC379" t="n">
        <v>1</v>
      </c>
      <c r="BD379" t="n">
        <v>1</v>
      </c>
      <c r="BE379" t="n">
        <v>0</v>
      </c>
      <c r="BF379" t="n">
        <v>1</v>
      </c>
      <c r="BG379" t="n">
        <v>0</v>
      </c>
      <c r="BH379" t="n">
        <v>0</v>
      </c>
    </row>
    <row r="380">
      <c r="A380" s="15" t="inlineStr">
        <is>
          <t>category_avg_smallcap</t>
        </is>
      </c>
      <c r="B380" s="15" t="n"/>
      <c r="C380" s="15" t="n"/>
      <c r="D380" s="15" t="n"/>
      <c r="E380" s="15" t="n"/>
      <c r="F380" s="16" t="n"/>
      <c r="G380" s="15" t="n"/>
      <c r="H380" s="15" t="n"/>
      <c r="I380" s="27" t="n">
        <v>-4.489799387272727</v>
      </c>
      <c r="K380" s="27" t="n">
        <v>-6.287097113636364</v>
      </c>
      <c r="L380" s="27" t="n">
        <v>20.58589238888889</v>
      </c>
      <c r="N380" s="27" t="n">
        <v>21.14849544444444</v>
      </c>
      <c r="O380" s="27" t="n">
        <v>24.33447975</v>
      </c>
      <c r="Q380" s="27" t="n">
        <v>22.8378405</v>
      </c>
      <c r="R380" s="27" t="n">
        <v>17.60334033333333</v>
      </c>
      <c r="T380" s="27" t="n">
        <v>14.66371155555555</v>
      </c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>
        <f>AVERAGE(AA355:AA379)</f>
        <v/>
      </c>
      <c r="AF380" s="15">
        <f>AVERAGE(AB355:AB379)</f>
        <v/>
      </c>
      <c r="AG380" s="15">
        <f>AVERAGE(AC355:AC379)</f>
        <v/>
      </c>
      <c r="AH380" s="15">
        <f>AVERAGE(AD355:AD379)</f>
        <v/>
      </c>
      <c r="AI380" s="15">
        <f>AVERAGE(AE355:AE379)</f>
        <v/>
      </c>
      <c r="AJ380" s="15" t="n"/>
      <c r="AK380" s="15" t="n"/>
      <c r="AL380" s="15" t="n"/>
      <c r="AM380" s="15" t="n"/>
      <c r="AN380" s="15" t="n"/>
      <c r="AO380" s="15" t="n"/>
      <c r="AP380" s="15" t="n"/>
      <c r="AQ380" s="15" t="n"/>
      <c r="AR380" s="15" t="n"/>
      <c r="AS380" s="15" t="n"/>
      <c r="AT380" s="15" t="n"/>
      <c r="AU380" s="15" t="n"/>
      <c r="AV380" s="25" t="n">
        <v>0.6531999999999999</v>
      </c>
      <c r="AZ380" s="26" t="n">
        <v>1.651841479968604</v>
      </c>
    </row>
    <row r="381">
      <c r="A381" s="23" t="inlineStr">
        <is>
          <t>Aditya Birla Sun Life Value Fund</t>
        </is>
      </c>
      <c r="B381" s="23" t="inlineStr">
        <is>
          <t>value</t>
        </is>
      </c>
      <c r="C381" s="23" t="inlineStr">
        <is>
          <t>Nifty 500 TRI</t>
        </is>
      </c>
      <c r="D381" s="23" t="inlineStr">
        <is>
          <t>Very High</t>
        </is>
      </c>
      <c r="E381" s="23" t="inlineStr">
        <is>
          <t>Very High</t>
        </is>
      </c>
      <c r="F381" s="24" t="n">
        <v>46023</v>
      </c>
      <c r="G381" s="23" t="n">
        <v>130.1885</v>
      </c>
      <c r="H381" s="23" t="n">
        <v>147.1417</v>
      </c>
      <c r="I381" s="23" t="n">
        <v>3.1221528</v>
      </c>
      <c r="J381" s="23" t="n">
        <v>-4.296875500000001</v>
      </c>
      <c r="K381" s="23" t="n">
        <v>7.4190283</v>
      </c>
      <c r="L381" s="23" t="n">
        <v>21.434416</v>
      </c>
      <c r="M381" s="23" t="n">
        <v>4.712187</v>
      </c>
      <c r="N381" s="23" t="n">
        <v>16.722229</v>
      </c>
      <c r="O381" s="23" t="n">
        <v>20.330318</v>
      </c>
      <c r="P381" s="23" t="n">
        <v>3.541601</v>
      </c>
      <c r="Q381" s="23" t="n">
        <v>16.788717</v>
      </c>
      <c r="R381" s="23" t="n">
        <v>13.552545</v>
      </c>
      <c r="S381" s="23" t="n">
        <v>-1.180394</v>
      </c>
      <c r="T381" s="23" t="n">
        <v>14.732939</v>
      </c>
      <c r="U381" s="23" t="n">
        <v>17.311012</v>
      </c>
      <c r="V381" s="23" t="n">
        <v>6446.54</v>
      </c>
      <c r="W381" s="23" t="n">
        <v>-0.7190026348579879</v>
      </c>
      <c r="X381" s="23" t="n">
        <v>-0.8833687933087198</v>
      </c>
      <c r="Y381" s="23" t="n">
        <v>-0.08982650151626914</v>
      </c>
      <c r="Z381" s="23" t="n">
        <v>-0.2234614001322663</v>
      </c>
      <c r="AA381" s="23" t="n">
        <v>0.820492080886282</v>
      </c>
      <c r="AB381" s="23" t="n">
        <v>0.6589396733714327</v>
      </c>
      <c r="AC381" s="23" t="n">
        <v>0.5703634380412388</v>
      </c>
      <c r="AD381" s="23" t="n">
        <v>0.4237738385832777</v>
      </c>
      <c r="AE381" s="23" t="n">
        <v>2.2610164</v>
      </c>
      <c r="AF381" s="23" t="n">
        <v>12.423711</v>
      </c>
      <c r="AG381" s="23" t="n">
        <v>20.39781</v>
      </c>
      <c r="AH381" s="23" t="n">
        <v>19.275995</v>
      </c>
      <c r="AI381" s="23" t="n">
        <v>12.056507</v>
      </c>
      <c r="AJ381" s="23" t="n">
        <v>14.357214</v>
      </c>
      <c r="AK381" s="23" t="n">
        <v>15.529697</v>
      </c>
      <c r="AL381" s="23" t="inlineStr">
        <is>
          <t>Equity Scheme - Value Fund</t>
        </is>
      </c>
      <c r="AM381" s="23" t="n">
        <v>1.68</v>
      </c>
      <c r="AN381" s="23" t="n">
        <v>0</v>
      </c>
      <c r="AO381" s="23" t="n">
        <v>0.05</v>
      </c>
      <c r="AP381" s="23" t="n">
        <v>0.14</v>
      </c>
      <c r="AQ381" s="23" t="n">
        <v>1.87</v>
      </c>
      <c r="AR381" s="23" t="n">
        <v>0.83</v>
      </c>
      <c r="AS381" s="23" t="n">
        <v>0</v>
      </c>
      <c r="AT381" s="23" t="n">
        <v>0.05</v>
      </c>
      <c r="AU381" s="23" t="n">
        <v>0.14</v>
      </c>
      <c r="AV381" s="23" t="n">
        <v>1.02</v>
      </c>
      <c r="AW381" s="17" t="n">
        <v>-0.9491913491578365</v>
      </c>
      <c r="AX381" t="inlineStr">
        <is>
          <t>61cr</t>
        </is>
      </c>
      <c r="AY381" s="26" t="n">
        <v>1.728902755918835</v>
      </c>
      <c r="AZ381" s="26" t="n">
        <v>1.367880328305439</v>
      </c>
      <c r="BA381" s="26" t="n">
        <v>0.583055810718665</v>
      </c>
      <c r="BB381" s="28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</row>
    <row r="382">
      <c r="A382" s="23" t="inlineStr">
        <is>
          <t>Axis Value Fund</t>
        </is>
      </c>
      <c r="B382" s="23" t="inlineStr">
        <is>
          <t>value</t>
        </is>
      </c>
      <c r="C382" s="23" t="inlineStr">
        <is>
          <t>Nifty 500 TRI</t>
        </is>
      </c>
      <c r="D382" s="23" t="inlineStr">
        <is>
          <t>Very High</t>
        </is>
      </c>
      <c r="E382" s="23" t="inlineStr">
        <is>
          <t>Very High</t>
        </is>
      </c>
      <c r="F382" s="24" t="n">
        <v>46023</v>
      </c>
      <c r="G382" s="23" t="n">
        <v>19.39</v>
      </c>
      <c r="H382" s="23" t="n">
        <v>20.59</v>
      </c>
      <c r="I382" s="23" t="n">
        <v>6.24355</v>
      </c>
      <c r="J382" s="23" t="n">
        <v>-1.1754783</v>
      </c>
      <c r="K382" s="23" t="n">
        <v>7.4190283</v>
      </c>
      <c r="L382" s="23" t="n">
        <v>25.28866</v>
      </c>
      <c r="M382" s="23" t="n">
        <v>8.566431000000001</v>
      </c>
      <c r="N382" s="23" t="n">
        <v>16.722229</v>
      </c>
      <c r="O382" s="23" t="n"/>
      <c r="P382" s="23" t="n"/>
      <c r="Q382" s="23" t="n"/>
      <c r="R382" s="23" t="n"/>
      <c r="S382" s="23" t="n"/>
      <c r="T382" s="23" t="n"/>
      <c r="U382" s="23" t="n">
        <v>18.384155</v>
      </c>
      <c r="V382" s="23" t="n">
        <v>1365.88</v>
      </c>
      <c r="W382" s="23" t="n">
        <v>-0.3823601078532453</v>
      </c>
      <c r="X382" s="23" t="n">
        <v>-0.8799687975690198</v>
      </c>
      <c r="Y382" s="23" t="n"/>
      <c r="Z382" s="23" t="n"/>
      <c r="AA382" s="23" t="n">
        <v>1.87197119196321</v>
      </c>
      <c r="AB382" s="23" t="n">
        <v>1.519542880915609</v>
      </c>
      <c r="AC382" s="23" t="n"/>
      <c r="AD382" s="23" t="n"/>
      <c r="AE382" s="23" t="n">
        <v>4.754187</v>
      </c>
      <c r="AF382" s="23" t="n"/>
      <c r="AG382" s="23" t="n">
        <v>23.563934</v>
      </c>
      <c r="AH382" s="23" t="n"/>
      <c r="AI382" s="23" t="n">
        <v>12.637138</v>
      </c>
      <c r="AJ382" s="23" t="n">
        <v>12.637138</v>
      </c>
      <c r="AK382" s="23" t="n">
        <v>16.734621</v>
      </c>
      <c r="AL382" s="23" t="inlineStr">
        <is>
          <t>Equity Scheme - Value Fund</t>
        </is>
      </c>
      <c r="AM382" s="23" t="n">
        <v>1.98</v>
      </c>
      <c r="AN382" s="23" t="n">
        <v>0</v>
      </c>
      <c r="AO382" s="23" t="n">
        <v>0.05</v>
      </c>
      <c r="AP382" s="23" t="n">
        <v>0.09</v>
      </c>
      <c r="AQ382" s="23" t="n">
        <v>2.12</v>
      </c>
      <c r="AR382" s="23" t="n">
        <v>0.5600000000000001</v>
      </c>
      <c r="AS382" s="23" t="n">
        <v>0</v>
      </c>
      <c r="AT382" s="23" t="n">
        <v>0.05</v>
      </c>
      <c r="AU382" s="23" t="n">
        <v>0.09</v>
      </c>
      <c r="AV382" s="23" t="n">
        <v>0.7</v>
      </c>
      <c r="AW382" s="17" t="n">
        <v>-12.76027176618738</v>
      </c>
      <c r="AX382" t="inlineStr">
        <is>
          <t>174cr</t>
        </is>
      </c>
      <c r="AY382" s="26" t="n">
        <v>1.396537633336864</v>
      </c>
      <c r="AZ382" s="26" t="n">
        <v>1.367880328305439</v>
      </c>
      <c r="BA382" s="26" t="n">
        <v>0.5277267958315833</v>
      </c>
      <c r="BB382" s="28" t="n">
        <v>2</v>
      </c>
      <c r="BC382" t="n">
        <v>1</v>
      </c>
      <c r="BD382" t="n">
        <v>0</v>
      </c>
      <c r="BE382" t="n">
        <v>1</v>
      </c>
      <c r="BF382" t="n">
        <v>0</v>
      </c>
      <c r="BG382" t="n">
        <v>0</v>
      </c>
      <c r="BH382" t="n">
        <v>0</v>
      </c>
    </row>
    <row r="383">
      <c r="A383" s="23" t="inlineStr">
        <is>
          <t>Bandhan Value Fund</t>
        </is>
      </c>
      <c r="B383" s="23" t="inlineStr">
        <is>
          <t>value</t>
        </is>
      </c>
      <c r="C383" s="23" t="inlineStr">
        <is>
          <t>BSE 500 TRI</t>
        </is>
      </c>
      <c r="D383" s="23" t="inlineStr">
        <is>
          <t>Very High</t>
        </is>
      </c>
      <c r="E383" s="23" t="inlineStr">
        <is>
          <t>Very High</t>
        </is>
      </c>
      <c r="F383" s="24" t="n">
        <v>46023</v>
      </c>
      <c r="G383" s="23" t="n">
        <v>152.942</v>
      </c>
      <c r="H383" s="23" t="n">
        <v>174.268</v>
      </c>
      <c r="I383" s="23" t="n">
        <v>5.9006553</v>
      </c>
      <c r="J383" s="23" t="n">
        <v>-1.388369699999999</v>
      </c>
      <c r="K383" s="23" t="n">
        <v>7.289025</v>
      </c>
      <c r="L383" s="23" t="n">
        <v>19.24334</v>
      </c>
      <c r="M383" s="23" t="n">
        <v>2.829277999999999</v>
      </c>
      <c r="N383" s="23" t="n">
        <v>16.414062</v>
      </c>
      <c r="O383" s="23" t="n">
        <v>23.845848</v>
      </c>
      <c r="P383" s="23" t="n">
        <v>7.119410999999999</v>
      </c>
      <c r="Q383" s="23" t="n">
        <v>16.726437</v>
      </c>
      <c r="R383" s="23" t="n">
        <v>16.783953</v>
      </c>
      <c r="S383" s="23" t="n">
        <v>1.994656000000001</v>
      </c>
      <c r="T383" s="23" t="n">
        <v>14.789297</v>
      </c>
      <c r="U383" s="23" t="n">
        <v>17.236538</v>
      </c>
      <c r="V383" s="23" t="n">
        <v>10462.48</v>
      </c>
      <c r="W383" s="23" t="n">
        <v>-0.5072214423573106</v>
      </c>
      <c r="X383" s="23" t="n">
        <v>-0.8744609385596204</v>
      </c>
      <c r="Y383" s="23" t="n">
        <v>0.2775361806704105</v>
      </c>
      <c r="Z383" s="23" t="n">
        <v>0.1150400279842935</v>
      </c>
      <c r="AA383" s="23" t="n">
        <v>0.7152859622216796</v>
      </c>
      <c r="AB383" s="23" t="n">
        <v>0.3806544154248952</v>
      </c>
      <c r="AC383" s="23" t="n">
        <v>1.205805798373395</v>
      </c>
      <c r="AD383" s="23" t="n">
        <v>0.9836209244279782</v>
      </c>
      <c r="AE383" s="23" t="n">
        <v>4.78422</v>
      </c>
      <c r="AF383" s="23" t="n">
        <v>15.554469</v>
      </c>
      <c r="AG383" s="23" t="n">
        <v>17.977085</v>
      </c>
      <c r="AH383" s="23" t="n">
        <v>22.518625</v>
      </c>
      <c r="AI383" s="23" t="n">
        <v>11.940188</v>
      </c>
      <c r="AJ383" s="23" t="n">
        <v>14.405049</v>
      </c>
      <c r="AK383" s="23" t="n">
        <v>16.526247</v>
      </c>
      <c r="AL383" s="23" t="inlineStr">
        <is>
          <t>Equity Scheme - Value Fund</t>
        </is>
      </c>
      <c r="AM383" s="23" t="n">
        <v>1.61</v>
      </c>
      <c r="AN383" s="23" t="n">
        <v>0</v>
      </c>
      <c r="AO383" s="23" t="n">
        <v>0.05</v>
      </c>
      <c r="AP383" s="23" t="n">
        <v>0.09</v>
      </c>
      <c r="AQ383" s="23" t="n">
        <v>1.75</v>
      </c>
      <c r="AR383" s="23" t="n">
        <v>0.55</v>
      </c>
      <c r="AS383" s="23" t="n">
        <v>0</v>
      </c>
      <c r="AT383" s="23" t="n">
        <v>0.05</v>
      </c>
      <c r="AU383" s="23" t="n">
        <v>0.09</v>
      </c>
      <c r="AV383" s="23" t="n">
        <v>0.6899999999999999</v>
      </c>
      <c r="AW383" s="17" t="n">
        <v>-0.2070254853533756</v>
      </c>
      <c r="AX383" t="inlineStr">
        <is>
          <t>22cr</t>
        </is>
      </c>
      <c r="AY383" s="26" t="n">
        <v>1.295176395103881</v>
      </c>
      <c r="AZ383" s="26" t="n">
        <v>1.367880328305439</v>
      </c>
      <c r="BA383" s="26" t="n">
        <v>0.4767099186465356</v>
      </c>
      <c r="BB383" s="28" t="n">
        <v>3</v>
      </c>
      <c r="BC383" t="n">
        <v>1</v>
      </c>
      <c r="BD383" t="n">
        <v>0</v>
      </c>
      <c r="BE383" t="n">
        <v>1</v>
      </c>
      <c r="BF383" t="n">
        <v>0</v>
      </c>
      <c r="BG383" t="n">
        <v>0</v>
      </c>
      <c r="BH383" t="n">
        <v>1</v>
      </c>
    </row>
    <row r="384">
      <c r="A384" s="23" t="inlineStr">
        <is>
          <t>Baroda BNP Paribas Value Fund</t>
        </is>
      </c>
      <c r="B384" s="23" t="inlineStr">
        <is>
          <t>value</t>
        </is>
      </c>
      <c r="C384" s="23" t="inlineStr">
        <is>
          <t>Nifty 500 TRI</t>
        </is>
      </c>
      <c r="D384" s="23" t="inlineStr">
        <is>
          <t>Very High</t>
        </is>
      </c>
      <c r="E384" s="23" t="inlineStr">
        <is>
          <t>Very High</t>
        </is>
      </c>
      <c r="F384" s="24" t="n">
        <v>46023</v>
      </c>
      <c r="G384" s="23" t="n">
        <v>14.2167</v>
      </c>
      <c r="H384" s="23" t="n">
        <v>14.7128</v>
      </c>
      <c r="I384" s="23" t="n">
        <v>2.4069047</v>
      </c>
      <c r="J384" s="23" t="n">
        <v>-5.0121236</v>
      </c>
      <c r="K384" s="23" t="n">
        <v>7.4190283</v>
      </c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>
        <v>16.19437</v>
      </c>
      <c r="V384" s="23" t="n">
        <v>1169.27</v>
      </c>
      <c r="W384" s="23" t="n">
        <v>-1.41183478039108</v>
      </c>
      <c r="X384" s="23" t="n">
        <v>-1.711501389408244</v>
      </c>
      <c r="Y384" s="23" t="n"/>
      <c r="Z384" s="23" t="n"/>
      <c r="AA384" s="23" t="n"/>
      <c r="AB384" s="23" t="n"/>
      <c r="AC384" s="23" t="n"/>
      <c r="AD384" s="23" t="n"/>
      <c r="AE384" s="23" t="n">
        <v>1.3480567</v>
      </c>
      <c r="AF384" s="23" t="n"/>
      <c r="AG384" s="23" t="n"/>
      <c r="AH384" s="23" t="n"/>
      <c r="AI384" s="23" t="n">
        <v>18.002169</v>
      </c>
      <c r="AJ384" s="23" t="n">
        <v>18.002169</v>
      </c>
      <c r="AK384" s="23" t="n">
        <v>14.655432</v>
      </c>
      <c r="AL384" s="23" t="inlineStr">
        <is>
          <t>Equity Scheme - Value Fund</t>
        </is>
      </c>
      <c r="AM384" s="23" t="n">
        <v>2.01</v>
      </c>
      <c r="AN384" s="23" t="n">
        <v>0</v>
      </c>
      <c r="AO384" s="23" t="n">
        <v>0.05</v>
      </c>
      <c r="AP384" s="23" t="n">
        <v>0.16</v>
      </c>
      <c r="AQ384" s="23" t="n">
        <v>2.22</v>
      </c>
      <c r="AR384" s="23" t="n">
        <v>0.95</v>
      </c>
      <c r="AS384" s="23" t="n">
        <v>0</v>
      </c>
      <c r="AT384" s="23" t="n">
        <v>0.05</v>
      </c>
      <c r="AU384" s="23" t="n">
        <v>0.16</v>
      </c>
      <c r="AV384" s="23" t="n">
        <v>1.16</v>
      </c>
      <c r="AW384" s="17" t="n">
        <v>1.700206111505479</v>
      </c>
      <c r="AX384" s="18" t="inlineStr">
        <is>
          <t>-20cr</t>
        </is>
      </c>
      <c r="AY384" s="26" t="n">
        <v>1.122137666443648</v>
      </c>
      <c r="AZ384" s="26" t="n">
        <v>1.367880328305439</v>
      </c>
      <c r="BA384" s="26" t="n">
        <v>0.4818209741699248</v>
      </c>
      <c r="BB384" s="28" t="n">
        <v>2</v>
      </c>
      <c r="BC384" t="n">
        <v>0</v>
      </c>
      <c r="BD384" t="n">
        <v>1</v>
      </c>
      <c r="BE384" t="n">
        <v>0</v>
      </c>
      <c r="BF384" t="n">
        <v>0</v>
      </c>
      <c r="BG384" t="n">
        <v>0</v>
      </c>
      <c r="BH384" t="n">
        <v>1</v>
      </c>
    </row>
    <row r="385">
      <c r="A385" s="23" t="inlineStr">
        <is>
          <t>Canara Robeco Value Fund</t>
        </is>
      </c>
      <c r="B385" s="23" t="inlineStr">
        <is>
          <t>value</t>
        </is>
      </c>
      <c r="C385" s="23" t="inlineStr">
        <is>
          <t>BSE 500 TRI</t>
        </is>
      </c>
      <c r="D385" s="23" t="inlineStr">
        <is>
          <t>Very High</t>
        </is>
      </c>
      <c r="E385" s="23" t="inlineStr">
        <is>
          <t>Very High</t>
        </is>
      </c>
      <c r="F385" s="24" t="n">
        <v>46023</v>
      </c>
      <c r="G385" s="23" t="n">
        <v>18.68</v>
      </c>
      <c r="H385" s="23" t="n">
        <v>19.99</v>
      </c>
      <c r="I385" s="23" t="n">
        <v>5.5995774</v>
      </c>
      <c r="J385" s="23" t="n">
        <v>-1.689447599999999</v>
      </c>
      <c r="K385" s="23" t="n">
        <v>7.289025</v>
      </c>
      <c r="L385" s="23" t="n">
        <v>19.219326</v>
      </c>
      <c r="M385" s="23" t="n">
        <v>2.805263999999998</v>
      </c>
      <c r="N385" s="23" t="n">
        <v>16.414062</v>
      </c>
      <c r="O385" s="23" t="n"/>
      <c r="P385" s="23" t="n"/>
      <c r="Q385" s="23" t="n"/>
      <c r="R385" s="23" t="n"/>
      <c r="S385" s="23" t="n"/>
      <c r="T385" s="23" t="n"/>
      <c r="U385" s="23" t="n">
        <v>17.340412</v>
      </c>
      <c r="V385" s="23" t="n">
        <v>1341.11</v>
      </c>
      <c r="W385" s="23" t="n">
        <v>-0.5903572096513393</v>
      </c>
      <c r="X385" s="23" t="n">
        <v>-1.121075019252107</v>
      </c>
      <c r="Y385" s="23" t="n"/>
      <c r="Z385" s="23" t="n"/>
      <c r="AA385" s="23" t="n">
        <v>0.788621671864703</v>
      </c>
      <c r="AB385" s="23" t="n">
        <v>0.2753371766005813</v>
      </c>
      <c r="AC385" s="23" t="n"/>
      <c r="AD385" s="23" t="n"/>
      <c r="AE385" s="23" t="n">
        <v>4.0668526</v>
      </c>
      <c r="AF385" s="23" t="n"/>
      <c r="AG385" s="23" t="n">
        <v>17.43123</v>
      </c>
      <c r="AH385" s="23" t="n"/>
      <c r="AI385" s="23" t="n">
        <v>12.762841</v>
      </c>
      <c r="AJ385" s="23" t="n">
        <v>12.762841</v>
      </c>
      <c r="AK385" s="23" t="n">
        <v>15.5185795</v>
      </c>
      <c r="AL385" s="23" t="inlineStr">
        <is>
          <t>Equity Scheme - Value Fund</t>
        </is>
      </c>
      <c r="AM385" s="23" t="n">
        <v>1.99</v>
      </c>
      <c r="AN385" s="23" t="n">
        <v>0</v>
      </c>
      <c r="AO385" s="23" t="n">
        <v>0.05</v>
      </c>
      <c r="AP385" s="23" t="n">
        <v>0.09</v>
      </c>
      <c r="AQ385" s="23" t="n">
        <v>2.13</v>
      </c>
      <c r="AR385" s="23" t="n">
        <v>0.53</v>
      </c>
      <c r="AS385" s="23" t="n">
        <v>0</v>
      </c>
      <c r="AT385" s="23" t="n">
        <v>0.05</v>
      </c>
      <c r="AU385" s="23" t="n">
        <v>0.09</v>
      </c>
      <c r="AV385" s="23" t="n">
        <v>0.67</v>
      </c>
      <c r="AW385" s="17" t="n">
        <v>-0.07009119311613718</v>
      </c>
      <c r="AX385" t="inlineStr">
        <is>
          <t>1cr</t>
        </is>
      </c>
      <c r="AY385" s="26" t="n">
        <v>1.266007253901249</v>
      </c>
      <c r="AZ385" s="26" t="n">
        <v>1.367880328305439</v>
      </c>
      <c r="BA385" s="26" t="n">
        <v>0.4734666360114222</v>
      </c>
      <c r="BB385" s="28" t="n">
        <v>3</v>
      </c>
      <c r="BC385" t="n">
        <v>1</v>
      </c>
      <c r="BD385" t="n">
        <v>0</v>
      </c>
      <c r="BE385" t="n">
        <v>1</v>
      </c>
      <c r="BF385" t="n">
        <v>0</v>
      </c>
      <c r="BG385" t="n">
        <v>0</v>
      </c>
      <c r="BH385" t="n">
        <v>1</v>
      </c>
    </row>
    <row r="386">
      <c r="A386" s="23" t="inlineStr">
        <is>
          <t>Groww Value Fund</t>
        </is>
      </c>
      <c r="B386" s="23" t="inlineStr">
        <is>
          <t>value</t>
        </is>
      </c>
      <c r="C386" s="23" t="inlineStr">
        <is>
          <t>Nifty 500 TRI</t>
        </is>
      </c>
      <c r="D386" s="23" t="inlineStr">
        <is>
          <t>Very High</t>
        </is>
      </c>
      <c r="E386" s="23" t="inlineStr">
        <is>
          <t>Very High</t>
        </is>
      </c>
      <c r="F386" s="24" t="n">
        <v>46023</v>
      </c>
      <c r="G386" s="23" t="n">
        <v>27.637</v>
      </c>
      <c r="H386" s="23" t="n">
        <v>33.1566</v>
      </c>
      <c r="I386" s="23" t="n">
        <v>9.614756</v>
      </c>
      <c r="J386" s="23" t="n">
        <v>2.1957277</v>
      </c>
      <c r="K386" s="23" t="n">
        <v>7.4190283</v>
      </c>
      <c r="L386" s="23" t="n">
        <v>18.134604</v>
      </c>
      <c r="M386" s="23" t="n">
        <v>1.412375000000001</v>
      </c>
      <c r="N386" s="23" t="n">
        <v>16.722229</v>
      </c>
      <c r="O386" s="23" t="n">
        <v>17.078117</v>
      </c>
      <c r="P386" s="23" t="n">
        <v>0.2894000000000005</v>
      </c>
      <c r="Q386" s="23" t="n">
        <v>16.788717</v>
      </c>
      <c r="R386" s="23" t="n">
        <v>12.259502</v>
      </c>
      <c r="S386" s="23" t="n">
        <v>-2.473437000000001</v>
      </c>
      <c r="T386" s="23" t="n">
        <v>14.732939</v>
      </c>
      <c r="U386" s="23" t="n">
        <v>12.312156</v>
      </c>
      <c r="V386" s="23" t="n">
        <v>68.09</v>
      </c>
      <c r="W386" s="23" t="n">
        <v>0.5013897032672818</v>
      </c>
      <c r="X386" s="23" t="n">
        <v>0.1201056251207686</v>
      </c>
      <c r="Y386" s="23" t="n">
        <v>-0.3685419694887196</v>
      </c>
      <c r="Z386" s="23" t="n">
        <v>-0.6520608312477013</v>
      </c>
      <c r="AA386" s="23" t="n">
        <v>0.2789481091001981</v>
      </c>
      <c r="AB386" s="23" t="n">
        <v>-0.06007839263549811</v>
      </c>
      <c r="AC386" s="23" t="n">
        <v>0.02904295671976911</v>
      </c>
      <c r="AD386" s="23" t="n">
        <v>-0.3085615635264476</v>
      </c>
      <c r="AE386" s="23" t="n">
        <v>8.090033</v>
      </c>
      <c r="AF386" s="23" t="n">
        <v>10.313862</v>
      </c>
      <c r="AG386" s="23" t="n">
        <v>16.497637</v>
      </c>
      <c r="AH386" s="23" t="n">
        <v>15.14652</v>
      </c>
      <c r="AI386" s="23" t="n">
        <v>14.852123</v>
      </c>
      <c r="AJ386" s="23" t="n">
        <v>14.852123</v>
      </c>
      <c r="AK386" s="23" t="n">
        <v>10.348517</v>
      </c>
      <c r="AL386" s="23" t="inlineStr">
        <is>
          <t>Equity Scheme - Value Fund</t>
        </is>
      </c>
      <c r="AM386" s="23" t="n">
        <v>2.25</v>
      </c>
      <c r="AN386" s="23" t="n">
        <v>0</v>
      </c>
      <c r="AO386" s="23" t="n">
        <v>0.05</v>
      </c>
      <c r="AP386" s="23" t="n">
        <v>0</v>
      </c>
      <c r="AQ386" s="23" t="n">
        <v>2.3</v>
      </c>
      <c r="AR386" s="23" t="n">
        <v>0.85</v>
      </c>
      <c r="AS386" s="23" t="n">
        <v>0</v>
      </c>
      <c r="AT386" s="23" t="n">
        <v>0.05</v>
      </c>
      <c r="AU386" s="23" t="n">
        <v>0</v>
      </c>
      <c r="AV386" s="23" t="n">
        <v>0.9</v>
      </c>
      <c r="AW386" s="17" t="n">
        <v>-1.733000440593342</v>
      </c>
      <c r="AX386" t="inlineStr">
        <is>
          <t>1cr</t>
        </is>
      </c>
      <c r="AY386" s="26" t="n">
        <v>1.041546753669901</v>
      </c>
      <c r="AZ386" s="26" t="n">
        <v>1.367880328305439</v>
      </c>
      <c r="BA386" s="26" t="n">
        <v>0.3862364676202497</v>
      </c>
      <c r="BB386" s="28" t="n">
        <v>4</v>
      </c>
      <c r="BC386" t="n">
        <v>1</v>
      </c>
      <c r="BD386" t="n">
        <v>0</v>
      </c>
      <c r="BE386" t="n">
        <v>1</v>
      </c>
      <c r="BF386" t="n">
        <v>1</v>
      </c>
      <c r="BG386" t="n">
        <v>0</v>
      </c>
      <c r="BH386" t="n">
        <v>1</v>
      </c>
    </row>
    <row r="387">
      <c r="A387" s="23" t="inlineStr">
        <is>
          <t>HDFC Value Fund</t>
        </is>
      </c>
      <c r="B387" s="23" t="inlineStr">
        <is>
          <t>value</t>
        </is>
      </c>
      <c r="C387" s="23" t="inlineStr">
        <is>
          <t>Nifty 500 TRI</t>
        </is>
      </c>
      <c r="D387" s="23" t="inlineStr">
        <is>
          <t>Very High</t>
        </is>
      </c>
      <c r="E387" s="23" t="inlineStr">
        <is>
          <t>Very High</t>
        </is>
      </c>
      <c r="F387" s="24" t="n">
        <v>46023</v>
      </c>
      <c r="G387" s="23" t="n">
        <v>772.562</v>
      </c>
      <c r="H387" s="23" t="n">
        <v>866.1849999999999</v>
      </c>
      <c r="I387" s="23" t="n">
        <v>9.190737</v>
      </c>
      <c r="J387" s="23" t="n">
        <v>1.7717087</v>
      </c>
      <c r="K387" s="23" t="n">
        <v>7.4190283</v>
      </c>
      <c r="L387" s="23" t="n">
        <v>20.347494</v>
      </c>
      <c r="M387" s="23" t="n">
        <v>3.625265000000002</v>
      </c>
      <c r="N387" s="23" t="n">
        <v>16.722229</v>
      </c>
      <c r="O387" s="23" t="n">
        <v>20.013826</v>
      </c>
      <c r="P387" s="23" t="n">
        <v>3.225109000000003</v>
      </c>
      <c r="Q387" s="23" t="n">
        <v>16.788717</v>
      </c>
      <c r="R387" s="23" t="n">
        <v>15.255894</v>
      </c>
      <c r="S387" s="23" t="n">
        <v>0.5229549999999996</v>
      </c>
      <c r="T387" s="23" t="n">
        <v>14.732939</v>
      </c>
      <c r="U387" s="23" t="n">
        <v>16.581762</v>
      </c>
      <c r="V387" s="23" t="n">
        <v>7661.14</v>
      </c>
      <c r="W387" s="23" t="n">
        <v>0.6384032310666393</v>
      </c>
      <c r="X387" s="23" t="n">
        <v>0.292140373144899</v>
      </c>
      <c r="Y387" s="23" t="n">
        <v>0.1324359795882094</v>
      </c>
      <c r="Z387" s="23" t="n">
        <v>-0.155569675944805</v>
      </c>
      <c r="AA387" s="23" t="n">
        <v>1.178872384914556</v>
      </c>
      <c r="AB387" s="23" t="n">
        <v>0.8439178736058237</v>
      </c>
      <c r="AC387" s="23" t="n">
        <v>0.901330698198928</v>
      </c>
      <c r="AD387" s="23" t="n">
        <v>0.6025107625601243</v>
      </c>
      <c r="AE387" s="23" t="n">
        <v>8.294025</v>
      </c>
      <c r="AF387" s="23" t="n">
        <v>14.1287</v>
      </c>
      <c r="AG387" s="23" t="n">
        <v>19.331892</v>
      </c>
      <c r="AH387" s="23" t="n">
        <v>18.958391</v>
      </c>
      <c r="AI387" s="23" t="n"/>
      <c r="AJ387" s="23" t="n">
        <v>14.41386</v>
      </c>
      <c r="AK387" s="23" t="n">
        <v>14.581452</v>
      </c>
      <c r="AL387" s="23" t="inlineStr">
        <is>
          <t>Equity Scheme - Value Fund</t>
        </is>
      </c>
      <c r="AM387" s="23" t="n">
        <v>1.65</v>
      </c>
      <c r="AN387" s="23" t="n">
        <v>0</v>
      </c>
      <c r="AO387" s="23" t="n">
        <v>0.05</v>
      </c>
      <c r="AP387" s="23" t="n">
        <v>0.14</v>
      </c>
      <c r="AQ387" s="23" t="n">
        <v>1.84</v>
      </c>
      <c r="AR387" s="23" t="n">
        <v>0.8</v>
      </c>
      <c r="AS387" s="23" t="n">
        <v>0</v>
      </c>
      <c r="AT387" s="23" t="n">
        <v>0.05</v>
      </c>
      <c r="AU387" s="23" t="n">
        <v>0.14</v>
      </c>
      <c r="AV387" s="23" t="n">
        <v>0.99</v>
      </c>
      <c r="AW387" s="17" t="n">
        <v>0.07139929566617167</v>
      </c>
      <c r="AX387" s="18" t="inlineStr">
        <is>
          <t>-5cr</t>
        </is>
      </c>
      <c r="AY387" s="26" t="n">
        <v>1.563483590385497</v>
      </c>
      <c r="AZ387" s="26" t="n">
        <v>1.367880328305439</v>
      </c>
      <c r="BA387" s="26" t="n">
        <v>0.4741893292711311</v>
      </c>
      <c r="BB387" s="28" t="n">
        <v>3</v>
      </c>
      <c r="BC387" t="n">
        <v>1</v>
      </c>
      <c r="BD387" t="n">
        <v>1</v>
      </c>
      <c r="BE387" t="n">
        <v>0</v>
      </c>
      <c r="BF387" t="n">
        <v>1</v>
      </c>
      <c r="BG387" t="n">
        <v>0</v>
      </c>
      <c r="BH387" t="n">
        <v>0</v>
      </c>
    </row>
    <row r="388">
      <c r="A388" s="23" t="inlineStr">
        <is>
          <t>HSBC Value Fund</t>
        </is>
      </c>
      <c r="B388" s="23" t="inlineStr">
        <is>
          <t>value</t>
        </is>
      </c>
      <c r="C388" s="23" t="inlineStr">
        <is>
          <t>Nifty 500 TRI</t>
        </is>
      </c>
      <c r="D388" s="23" t="inlineStr">
        <is>
          <t>Very High</t>
        </is>
      </c>
      <c r="E388" s="23" t="inlineStr">
        <is>
          <t>Very High</t>
        </is>
      </c>
      <c r="F388" s="24" t="n">
        <v>46023</v>
      </c>
      <c r="G388" s="23" t="n">
        <v>115.0543</v>
      </c>
      <c r="H388" s="23" t="n">
        <v>128.9879</v>
      </c>
      <c r="I388" s="23" t="n">
        <v>7.7311444</v>
      </c>
      <c r="J388" s="23" t="n">
        <v>0.3121160999999999</v>
      </c>
      <c r="K388" s="23" t="n">
        <v>7.4190283</v>
      </c>
      <c r="L388" s="23" t="n">
        <v>24.525263</v>
      </c>
      <c r="M388" s="23" t="n">
        <v>7.803034</v>
      </c>
      <c r="N388" s="23" t="n">
        <v>16.722229</v>
      </c>
      <c r="O388" s="23" t="n">
        <v>23.706087</v>
      </c>
      <c r="P388" s="23" t="n">
        <v>6.917370000000002</v>
      </c>
      <c r="Q388" s="23" t="n">
        <v>16.788717</v>
      </c>
      <c r="R388" s="23" t="n">
        <v>17.197552</v>
      </c>
      <c r="S388" s="23" t="n">
        <v>2.464613000000002</v>
      </c>
      <c r="T388" s="23" t="n">
        <v>14.732939</v>
      </c>
      <c r="U388" s="23" t="n">
        <v>19.817019</v>
      </c>
      <c r="V388" s="23" t="n">
        <v>14766.85</v>
      </c>
      <c r="W388" s="23" t="n">
        <v>0.1347192217842987</v>
      </c>
      <c r="X388" s="23" t="n">
        <v>-0.1079633798200711</v>
      </c>
      <c r="Y388" s="23" t="n">
        <v>0.5156857785896349</v>
      </c>
      <c r="Z388" s="23" t="n">
        <v>0.3092577264729495</v>
      </c>
      <c r="AA388" s="23" t="n">
        <v>1.490996238524194</v>
      </c>
      <c r="AB388" s="23" t="n">
        <v>1.27887015137624</v>
      </c>
      <c r="AC388" s="23" t="n">
        <v>1.359309191410527</v>
      </c>
      <c r="AD388" s="23" t="n">
        <v>1.140828243899213</v>
      </c>
      <c r="AE388" s="23" t="n">
        <v>6.716141</v>
      </c>
      <c r="AF388" s="23" t="n">
        <v>16.113234</v>
      </c>
      <c r="AG388" s="23" t="n">
        <v>23.33819</v>
      </c>
      <c r="AH388" s="23" t="n">
        <v>22.526516</v>
      </c>
      <c r="AI388" s="23" t="n">
        <v>12.386792</v>
      </c>
      <c r="AJ388" s="23" t="n">
        <v>14.41386</v>
      </c>
      <c r="AK388" s="23" t="n">
        <v>16.503912</v>
      </c>
      <c r="AL388" s="23" t="inlineStr">
        <is>
          <t>Equity Scheme - Value Fund</t>
        </is>
      </c>
      <c r="AM388" s="23" t="n">
        <v>1.56</v>
      </c>
      <c r="AN388" s="23" t="n">
        <v>0</v>
      </c>
      <c r="AO388" s="23" t="n">
        <v>0.05</v>
      </c>
      <c r="AP388" s="23" t="n">
        <v>0.1</v>
      </c>
      <c r="AQ388" s="23" t="n">
        <v>1.71</v>
      </c>
      <c r="AR388" s="23" t="n">
        <v>0.59</v>
      </c>
      <c r="AS388" s="23" t="n">
        <v>0</v>
      </c>
      <c r="AT388" s="23" t="n">
        <v>0.05</v>
      </c>
      <c r="AU388" s="23" t="n">
        <v>0.1</v>
      </c>
      <c r="AV388" s="23" t="n">
        <v>0.74</v>
      </c>
      <c r="AW388" s="17" t="n">
        <v>-1.520364871316497</v>
      </c>
      <c r="AX388" t="inlineStr">
        <is>
          <t>225cr</t>
        </is>
      </c>
      <c r="AY388" s="26" t="n">
        <v>1.396490843439904</v>
      </c>
      <c r="AZ388" s="26" t="n">
        <v>1.367880328305439</v>
      </c>
      <c r="BA388" s="26" t="n">
        <v>0.573015837094047</v>
      </c>
      <c r="BB388" s="28" t="n">
        <v>3</v>
      </c>
      <c r="BC388" t="n">
        <v>1</v>
      </c>
      <c r="BD388" t="n">
        <v>0</v>
      </c>
      <c r="BE388" t="n">
        <v>1</v>
      </c>
      <c r="BF388" t="n">
        <v>1</v>
      </c>
      <c r="BG388" t="n">
        <v>0</v>
      </c>
      <c r="BH388" t="n">
        <v>0</v>
      </c>
    </row>
    <row r="389">
      <c r="A389" s="23" t="inlineStr">
        <is>
          <t>ITI Value Fund</t>
        </is>
      </c>
      <c r="B389" s="23" t="inlineStr">
        <is>
          <t>value</t>
        </is>
      </c>
      <c r="C389" s="23" t="inlineStr">
        <is>
          <t>Nifty 500 TRI</t>
        </is>
      </c>
      <c r="D389" s="23" t="inlineStr">
        <is>
          <t>Very High</t>
        </is>
      </c>
      <c r="E389" s="23" t="inlineStr">
        <is>
          <t>Very High</t>
        </is>
      </c>
      <c r="F389" s="24" t="n">
        <v>46023</v>
      </c>
      <c r="G389" s="23" t="n">
        <v>17.3679</v>
      </c>
      <c r="H389" s="23" t="n">
        <v>19.0258</v>
      </c>
      <c r="I389" s="23" t="n">
        <v>4.6828833</v>
      </c>
      <c r="J389" s="23" t="n">
        <v>-2.736145</v>
      </c>
      <c r="K389" s="23" t="n">
        <v>7.4190283</v>
      </c>
      <c r="L389" s="23" t="n">
        <v>20.83299</v>
      </c>
      <c r="M389" s="23" t="n">
        <v>4.110761</v>
      </c>
      <c r="N389" s="23" t="n">
        <v>16.722229</v>
      </c>
      <c r="O389" s="23" t="n"/>
      <c r="P389" s="23" t="n"/>
      <c r="Q389" s="23" t="n"/>
      <c r="R389" s="23" t="n"/>
      <c r="S389" s="23" t="n"/>
      <c r="T389" s="23" t="n"/>
      <c r="U389" s="23" t="n">
        <v>15.172256</v>
      </c>
      <c r="V389" s="23" t="n">
        <v>354.28</v>
      </c>
      <c r="W389" s="23" t="n">
        <v>-0.4311006475624617</v>
      </c>
      <c r="X389" s="23" t="n">
        <v>-0.7760061414757917</v>
      </c>
      <c r="Y389" s="23" t="n"/>
      <c r="Z389" s="23" t="n"/>
      <c r="AA389" s="23" t="n">
        <v>0.7249136831605952</v>
      </c>
      <c r="AB389" s="23" t="n">
        <v>0.3716248644301812</v>
      </c>
      <c r="AC389" s="23" t="n"/>
      <c r="AD389" s="23" t="n"/>
      <c r="AE389" s="23" t="n">
        <v>2.813658</v>
      </c>
      <c r="AF389" s="23" t="n"/>
      <c r="AG389" s="23" t="n">
        <v>18.59178</v>
      </c>
      <c r="AH389" s="23" t="n"/>
      <c r="AI389" s="23" t="n">
        <v>14.425416</v>
      </c>
      <c r="AJ389" s="23" t="n">
        <v>14.425416</v>
      </c>
      <c r="AK389" s="23" t="n">
        <v>12.88912</v>
      </c>
      <c r="AL389" s="23" t="inlineStr">
        <is>
          <t>Equity Scheme - Value Fund</t>
        </is>
      </c>
      <c r="AM389" s="23" t="n">
        <v>2.25</v>
      </c>
      <c r="AN389" s="23" t="n">
        <v>0</v>
      </c>
      <c r="AO389" s="23" t="n">
        <v>0.05</v>
      </c>
      <c r="AP389" s="23" t="n">
        <v>0.07000000000000001</v>
      </c>
      <c r="AQ389" s="23" t="n">
        <v>2.37</v>
      </c>
      <c r="AR389" s="23" t="n">
        <v>0.45</v>
      </c>
      <c r="AS389" s="23" t="n">
        <v>0</v>
      </c>
      <c r="AT389" s="23" t="n">
        <v>0.05</v>
      </c>
      <c r="AU389" s="23" t="n">
        <v>0.07000000000000001</v>
      </c>
      <c r="AV389" s="23" t="n">
        <v>0.57</v>
      </c>
      <c r="AW389" s="17" t="n">
        <v>-0.9484023935869812</v>
      </c>
      <c r="AX389" t="inlineStr">
        <is>
          <t>3cr</t>
        </is>
      </c>
      <c r="AY389" s="26" t="n">
        <v>1.424521559673484</v>
      </c>
      <c r="AZ389" s="26" t="n">
        <v>1.367880328305439</v>
      </c>
      <c r="BA389" s="26" t="n">
        <v>0.5663717451492553</v>
      </c>
      <c r="BB389" s="28" t="n">
        <v>1</v>
      </c>
      <c r="BC389" t="n">
        <v>0</v>
      </c>
      <c r="BD389" t="n">
        <v>0</v>
      </c>
      <c r="BE389" t="n">
        <v>1</v>
      </c>
      <c r="BF389" t="n">
        <v>0</v>
      </c>
      <c r="BG389" t="n">
        <v>0</v>
      </c>
      <c r="BH389" t="n">
        <v>0</v>
      </c>
    </row>
    <row r="390">
      <c r="A390" s="23" t="inlineStr">
        <is>
          <t>JM Value Fund</t>
        </is>
      </c>
      <c r="B390" s="23" t="inlineStr">
        <is>
          <t>value</t>
        </is>
      </c>
      <c r="C390" s="23" t="inlineStr">
        <is>
          <t>BSE 500 TRI</t>
        </is>
      </c>
      <c r="D390" s="23" t="inlineStr">
        <is>
          <t>Very High</t>
        </is>
      </c>
      <c r="E390" s="23" t="inlineStr">
        <is>
          <t>Very High</t>
        </is>
      </c>
      <c r="F390" s="24" t="n">
        <v>46023</v>
      </c>
      <c r="G390" s="23" t="n">
        <v>95.8032</v>
      </c>
      <c r="H390" s="23" t="n">
        <v>108.1904</v>
      </c>
      <c r="I390" s="23" t="n">
        <v>-4.078106</v>
      </c>
      <c r="J390" s="23" t="n">
        <v>-11.367131</v>
      </c>
      <c r="K390" s="23" t="n">
        <v>7.289025</v>
      </c>
      <c r="L390" s="23" t="n">
        <v>21.89172</v>
      </c>
      <c r="M390" s="23" t="n">
        <v>5.477657999999998</v>
      </c>
      <c r="N390" s="23" t="n">
        <v>16.414062</v>
      </c>
      <c r="O390" s="23" t="n">
        <v>21.281593</v>
      </c>
      <c r="P390" s="23" t="n">
        <v>4.555156</v>
      </c>
      <c r="Q390" s="23" t="n">
        <v>16.726437</v>
      </c>
      <c r="R390" s="23" t="n">
        <v>17.499968</v>
      </c>
      <c r="S390" s="23" t="n">
        <v>2.710671</v>
      </c>
      <c r="T390" s="23" t="n">
        <v>14.789297</v>
      </c>
      <c r="U390" s="23" t="n">
        <v>16.625103</v>
      </c>
      <c r="V390" s="23" t="n">
        <v>956.39</v>
      </c>
      <c r="W390" s="23" t="n">
        <v>-1.939909220147932</v>
      </c>
      <c r="X390" s="23" t="n">
        <v>-2.165249654314499</v>
      </c>
      <c r="Y390" s="23" t="n">
        <v>0.4696598766351809</v>
      </c>
      <c r="Z390" s="23" t="n">
        <v>0.3058132832520429</v>
      </c>
      <c r="AA390" s="23" t="n">
        <v>0.8080537539257313</v>
      </c>
      <c r="AB390" s="23" t="n">
        <v>0.6297489530771708</v>
      </c>
      <c r="AC390" s="23" t="n">
        <v>0.7456734906119326</v>
      </c>
      <c r="AD390" s="23" t="n">
        <v>0.578909409839705</v>
      </c>
      <c r="AE390" s="23" t="n">
        <v>-5.283389</v>
      </c>
      <c r="AF390" s="23" t="n">
        <v>16.397053</v>
      </c>
      <c r="AG390" s="23" t="n">
        <v>20.569777</v>
      </c>
      <c r="AH390" s="23" t="n">
        <v>20.172173</v>
      </c>
      <c r="AI390" s="23" t="n"/>
      <c r="AJ390" s="23" t="n">
        <v>14.405049</v>
      </c>
      <c r="AK390" s="23" t="n">
        <v>16.166185</v>
      </c>
      <c r="AL390" s="23" t="inlineStr">
        <is>
          <t>Equity Scheme - Value Fund</t>
        </is>
      </c>
      <c r="AM390" s="23" t="n">
        <v>2.1</v>
      </c>
      <c r="AN390" s="23" t="n">
        <v>0</v>
      </c>
      <c r="AO390" s="23" t="n">
        <v>0.05</v>
      </c>
      <c r="AP390" s="23" t="n">
        <v>0.15</v>
      </c>
      <c r="AQ390" s="23" t="n">
        <v>2.3</v>
      </c>
      <c r="AR390" s="23" t="n">
        <v>0.9</v>
      </c>
      <c r="AS390" s="23" t="n">
        <v>0</v>
      </c>
      <c r="AT390" s="23" t="n">
        <v>0.05</v>
      </c>
      <c r="AU390" s="23" t="n">
        <v>0.15</v>
      </c>
      <c r="AV390" s="23" t="n">
        <v>1.1</v>
      </c>
      <c r="AW390" s="17" t="n">
        <v>3.263313083574696</v>
      </c>
      <c r="AX390" s="18" t="inlineStr">
        <is>
          <t>-31cr</t>
        </is>
      </c>
      <c r="AY390" s="26" t="n">
        <v>1.173220215666131</v>
      </c>
      <c r="AZ390" s="26" t="n">
        <v>1.367880328305439</v>
      </c>
      <c r="BA390" s="26" t="n">
        <v>0.6229106233763654</v>
      </c>
      <c r="BB390" s="28" t="n">
        <v>2</v>
      </c>
      <c r="BC390" t="n">
        <v>0</v>
      </c>
      <c r="BD390" t="n">
        <v>1</v>
      </c>
      <c r="BE390" t="n">
        <v>0</v>
      </c>
      <c r="BF390" t="n">
        <v>0</v>
      </c>
      <c r="BG390" t="n">
        <v>0</v>
      </c>
      <c r="BH390" t="n">
        <v>1</v>
      </c>
    </row>
    <row r="391">
      <c r="A391" s="23" t="inlineStr">
        <is>
          <t>LIC MF Value Fund</t>
        </is>
      </c>
      <c r="B391" s="23" t="inlineStr">
        <is>
          <t>value</t>
        </is>
      </c>
      <c r="C391" s="23" t="inlineStr">
        <is>
          <t>Nifty 500 TRI</t>
        </is>
      </c>
      <c r="D391" s="23" t="inlineStr">
        <is>
          <t>Very High</t>
        </is>
      </c>
      <c r="E391" s="23" t="inlineStr">
        <is>
          <t>Very High</t>
        </is>
      </c>
      <c r="F391" s="24" t="n">
        <v>46023</v>
      </c>
      <c r="G391" s="23" t="n">
        <v>24.456</v>
      </c>
      <c r="H391" s="23" t="n">
        <v>26.4516</v>
      </c>
      <c r="I391" s="23" t="n">
        <v>-6.7817874</v>
      </c>
      <c r="J391" s="23" t="n">
        <v>-14.2008157</v>
      </c>
      <c r="K391" s="23" t="n">
        <v>7.4190283</v>
      </c>
      <c r="L391" s="23" t="n">
        <v>15.137618</v>
      </c>
      <c r="M391" s="23" t="n">
        <v>-1.584610999999999</v>
      </c>
      <c r="N391" s="23" t="n">
        <v>16.722229</v>
      </c>
      <c r="O391" s="23" t="n">
        <v>16.806417</v>
      </c>
      <c r="P391" s="23" t="n">
        <v>0.01770000000000138</v>
      </c>
      <c r="Q391" s="23" t="n">
        <v>16.788717</v>
      </c>
      <c r="R391" s="23" t="n"/>
      <c r="S391" s="23" t="n"/>
      <c r="T391" s="23" t="n"/>
      <c r="U391" s="23" t="n">
        <v>14.103836</v>
      </c>
      <c r="V391" s="23" t="n">
        <v>198.4</v>
      </c>
      <c r="W391" s="23" t="n">
        <v>-1.520209594247259</v>
      </c>
      <c r="X391" s="23" t="n">
        <v>-1.665949826094181</v>
      </c>
      <c r="Y391" s="23" t="n"/>
      <c r="Z391" s="23" t="n"/>
      <c r="AA391" s="23" t="n">
        <v>-0.153878509451124</v>
      </c>
      <c r="AB391" s="23" t="n">
        <v>-0.3137111163913567</v>
      </c>
      <c r="AC391" s="23" t="n">
        <v>0.04917826922799446</v>
      </c>
      <c r="AD391" s="23" t="n">
        <v>-0.1255666793345844</v>
      </c>
      <c r="AE391" s="23" t="n">
        <v>-7.9778147</v>
      </c>
      <c r="AF391" s="23" t="n"/>
      <c r="AG391" s="23" t="n">
        <v>13.952549</v>
      </c>
      <c r="AH391" s="23" t="n">
        <v>15.701668</v>
      </c>
      <c r="AI391" s="23" t="n">
        <v>13.9704685</v>
      </c>
      <c r="AJ391" s="23" t="n">
        <v>13.9704685</v>
      </c>
      <c r="AK391" s="23" t="n">
        <v>12.89626</v>
      </c>
      <c r="AL391" s="23" t="inlineStr">
        <is>
          <t>Equity Scheme - Value Fund</t>
        </is>
      </c>
      <c r="AM391" s="23" t="n">
        <v>2.25</v>
      </c>
      <c r="AN391" s="23" t="n">
        <v>0</v>
      </c>
      <c r="AO391" s="23" t="n">
        <v>0.05</v>
      </c>
      <c r="AP391" s="23" t="n">
        <v>0.18</v>
      </c>
      <c r="AQ391" s="23" t="n">
        <v>2.48</v>
      </c>
      <c r="AR391" s="23" t="n">
        <v>1.13</v>
      </c>
      <c r="AS391" s="23" t="n">
        <v>0</v>
      </c>
      <c r="AT391" s="23" t="n">
        <v>0.05</v>
      </c>
      <c r="AU391" s="23" t="n">
        <v>0.17</v>
      </c>
      <c r="AV391" s="23" t="n">
        <v>1.35</v>
      </c>
      <c r="AW391" s="17" t="n">
        <v>2.64616935483871</v>
      </c>
      <c r="AX391" s="18" t="inlineStr">
        <is>
          <t>-5cr</t>
        </is>
      </c>
      <c r="AY391" s="26" t="n">
        <v>1.305708861328748</v>
      </c>
      <c r="AZ391" s="26" t="n">
        <v>1.367880328305439</v>
      </c>
      <c r="BA391" s="26" t="n">
        <v>0.5915318567390931</v>
      </c>
      <c r="BB391" s="28" t="n">
        <v>2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1</v>
      </c>
    </row>
    <row r="392">
      <c r="A392" s="23" t="inlineStr">
        <is>
          <t>Mahindra Manulife Value Fund</t>
        </is>
      </c>
      <c r="B392" s="23" t="inlineStr">
        <is>
          <t>value</t>
        </is>
      </c>
      <c r="C392" s="23" t="inlineStr">
        <is>
          <t>Nifty 500 TRI</t>
        </is>
      </c>
      <c r="D392" s="23" t="inlineStr">
        <is>
          <t>Very High</t>
        </is>
      </c>
      <c r="E392" s="23" t="inlineStr">
        <is>
          <t>Very High</t>
        </is>
      </c>
      <c r="F392" s="24" t="n">
        <v>46023</v>
      </c>
      <c r="G392" s="23" t="n">
        <v>12.0737</v>
      </c>
      <c r="H392" s="23" t="n">
        <v>12.257</v>
      </c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>
        <v>665.47</v>
      </c>
      <c r="W392" s="23" t="n"/>
      <c r="X392" s="23" t="n"/>
      <c r="Y392" s="23" t="n"/>
      <c r="Z392" s="23" t="n"/>
      <c r="AA392" s="23" t="n"/>
      <c r="AB392" s="23" t="n"/>
      <c r="AC392" s="23" t="n"/>
      <c r="AD392" s="23" t="n"/>
      <c r="AE392" s="23" t="n"/>
      <c r="AF392" s="23" t="n"/>
      <c r="AG392" s="23" t="n"/>
      <c r="AH392" s="23" t="n"/>
      <c r="AI392" s="23" t="n"/>
      <c r="AJ392" s="23" t="n"/>
      <c r="AK392" s="23" t="n"/>
      <c r="AL392" s="23" t="inlineStr">
        <is>
          <t>Equity Scheme - Value Fund</t>
        </is>
      </c>
      <c r="AM392" s="23" t="n">
        <v>2.18</v>
      </c>
      <c r="AN392" s="23" t="n">
        <v>0</v>
      </c>
      <c r="AO392" s="23" t="n">
        <v>0.05</v>
      </c>
      <c r="AP392" s="23" t="n">
        <v>0.06</v>
      </c>
      <c r="AQ392" s="23" t="n">
        <v>2.29</v>
      </c>
      <c r="AR392" s="23" t="n">
        <v>0.4</v>
      </c>
      <c r="AS392" s="23" t="n">
        <v>0</v>
      </c>
      <c r="AT392" s="23" t="n">
        <v>0.05</v>
      </c>
      <c r="AU392" s="23" t="n">
        <v>0.06</v>
      </c>
      <c r="AV392" s="23" t="n">
        <v>0.51</v>
      </c>
      <c r="AW392" s="17" t="n">
        <v>-6.402993373104724</v>
      </c>
      <c r="AX392" t="inlineStr">
        <is>
          <t>43cr</t>
        </is>
      </c>
      <c r="AY392" s="26" t="n">
        <v>1.793249635206578</v>
      </c>
      <c r="AZ392" s="26" t="n">
        <v>1.367880328305439</v>
      </c>
      <c r="BA392" s="26" t="n">
        <v>0.5962994123569537</v>
      </c>
      <c r="BB392" s="28" t="n">
        <v>1</v>
      </c>
      <c r="BC392" t="n">
        <v>0</v>
      </c>
      <c r="BD392" t="n">
        <v>0</v>
      </c>
      <c r="BE392" t="n">
        <v>1</v>
      </c>
      <c r="BF392" t="n">
        <v>0</v>
      </c>
      <c r="BG392" t="n">
        <v>0</v>
      </c>
      <c r="BH392" t="n">
        <v>0</v>
      </c>
    </row>
    <row r="393">
      <c r="A393" s="23" t="inlineStr">
        <is>
          <t>Nippon India Value Fund</t>
        </is>
      </c>
      <c r="B393" s="23" t="inlineStr">
        <is>
          <t>value</t>
        </is>
      </c>
      <c r="C393" s="23" t="inlineStr">
        <is>
          <t>Nifty 500 TRI</t>
        </is>
      </c>
      <c r="D393" s="23" t="inlineStr">
        <is>
          <t>Very High</t>
        </is>
      </c>
      <c r="E393" s="23" t="inlineStr">
        <is>
          <t>Very High</t>
        </is>
      </c>
      <c r="F393" s="24" t="n">
        <v>46023</v>
      </c>
      <c r="G393" s="23" t="n">
        <v>232.6943</v>
      </c>
      <c r="H393" s="23" t="n">
        <v>255.6204</v>
      </c>
      <c r="I393" s="23" t="n">
        <v>4.856142</v>
      </c>
      <c r="J393" s="23" t="n">
        <v>-2.5628863</v>
      </c>
      <c r="K393" s="23" t="n">
        <v>7.4190283</v>
      </c>
      <c r="L393" s="23" t="n">
        <v>22.944134</v>
      </c>
      <c r="M393" s="23" t="n">
        <v>6.221905</v>
      </c>
      <c r="N393" s="23" t="n">
        <v>16.722229</v>
      </c>
      <c r="O393" s="23" t="n">
        <v>22.310112</v>
      </c>
      <c r="P393" s="23" t="n">
        <v>5.521395000000002</v>
      </c>
      <c r="Q393" s="23" t="n">
        <v>16.788717</v>
      </c>
      <c r="R393" s="23" t="n">
        <v>16.443811</v>
      </c>
      <c r="S393" s="23" t="n">
        <v>1.710872</v>
      </c>
      <c r="T393" s="23" t="n">
        <v>14.732939</v>
      </c>
      <c r="U393" s="23" t="n">
        <v>16.62303</v>
      </c>
      <c r="V393" s="23" t="n">
        <v>9194.860000000001</v>
      </c>
      <c r="W393" s="23" t="n">
        <v>-0.8494755043098708</v>
      </c>
      <c r="X393" s="23" t="n">
        <v>-1.114340815233298</v>
      </c>
      <c r="Y393" s="23" t="n">
        <v>0.3818198751512312</v>
      </c>
      <c r="Z393" s="23" t="n">
        <v>0.208602458947594</v>
      </c>
      <c r="AA393" s="23" t="n">
        <v>1.581553969195265</v>
      </c>
      <c r="AB393" s="23" t="n">
        <v>1.36859464428998</v>
      </c>
      <c r="AC393" s="23" t="n">
        <v>1.384746153124766</v>
      </c>
      <c r="AD393" s="23" t="n">
        <v>1.179131585009748</v>
      </c>
      <c r="AE393" s="23" t="n">
        <v>4.086676</v>
      </c>
      <c r="AF393" s="23" t="n">
        <v>15.611938</v>
      </c>
      <c r="AG393" s="23" t="n">
        <v>22.06384</v>
      </c>
      <c r="AH393" s="23" t="n">
        <v>21.454212</v>
      </c>
      <c r="AI393" s="23" t="n">
        <v>14.541013</v>
      </c>
      <c r="AJ393" s="23" t="n">
        <v>14.357214</v>
      </c>
      <c r="AK393" s="23" t="n">
        <v>16.52273</v>
      </c>
      <c r="AL393" s="23" t="inlineStr">
        <is>
          <t>Equity Scheme - Value Fund</t>
        </is>
      </c>
      <c r="AM393" s="23" t="n">
        <v>1.62</v>
      </c>
      <c r="AN393" s="23" t="n">
        <v>0</v>
      </c>
      <c r="AO393" s="23" t="n">
        <v>0.05</v>
      </c>
      <c r="AP393" s="23" t="n">
        <v>0.16</v>
      </c>
      <c r="AQ393" s="23" t="n">
        <v>1.83</v>
      </c>
      <c r="AR393" s="23" t="n">
        <v>0.87</v>
      </c>
      <c r="AS393" s="23" t="n">
        <v>0</v>
      </c>
      <c r="AT393" s="23" t="n">
        <v>0.05</v>
      </c>
      <c r="AU393" s="23" t="n">
        <v>0.16</v>
      </c>
      <c r="AV393" s="23" t="n">
        <v>1.08</v>
      </c>
      <c r="AW393" s="17" t="n">
        <v>0.382061282064101</v>
      </c>
      <c r="AX393" s="18" t="inlineStr">
        <is>
          <t>-35cr</t>
        </is>
      </c>
      <c r="AY393" s="26" t="n">
        <v>1.240376173373498</v>
      </c>
      <c r="AZ393" s="26" t="n">
        <v>1.367880328305439</v>
      </c>
      <c r="BA393" s="26" t="n">
        <v>0.4968822934610947</v>
      </c>
      <c r="BB393" s="28" t="n">
        <v>3</v>
      </c>
      <c r="BC393" t="n">
        <v>1</v>
      </c>
      <c r="BD393" t="n">
        <v>1</v>
      </c>
      <c r="BE393" t="n">
        <v>0</v>
      </c>
      <c r="BF393" t="n">
        <v>0</v>
      </c>
      <c r="BG393" t="n">
        <v>0</v>
      </c>
      <c r="BH393" t="n">
        <v>1</v>
      </c>
    </row>
    <row r="394">
      <c r="A394" s="23" t="inlineStr">
        <is>
          <t>Sundaram Value Fund</t>
        </is>
      </c>
      <c r="B394" s="23" t="inlineStr">
        <is>
          <t>value</t>
        </is>
      </c>
      <c r="C394" s="23" t="inlineStr">
        <is>
          <t>Nifty 500 TRI</t>
        </is>
      </c>
      <c r="D394" s="23" t="inlineStr">
        <is>
          <t>Very High</t>
        </is>
      </c>
      <c r="E394" s="23" t="inlineStr">
        <is>
          <t>Very High</t>
        </is>
      </c>
      <c r="F394" s="24" t="n">
        <v>46023</v>
      </c>
      <c r="G394" s="23" t="n">
        <v>228.3906</v>
      </c>
      <c r="H394" s="23" t="n">
        <v>242.5079</v>
      </c>
      <c r="I394" s="23" t="n">
        <v>7.0388203</v>
      </c>
      <c r="J394" s="23" t="n">
        <v>-0.3802079999999997</v>
      </c>
      <c r="K394" s="23" t="n">
        <v>7.4190283</v>
      </c>
      <c r="L394" s="23" t="n">
        <v>14.555442</v>
      </c>
      <c r="M394" s="23" t="n">
        <v>-2.166786999999999</v>
      </c>
      <c r="N394" s="23" t="n">
        <v>16.722229</v>
      </c>
      <c r="O394" s="23" t="n">
        <v>15.724094</v>
      </c>
      <c r="P394" s="23" t="n">
        <v>-1.064622999999999</v>
      </c>
      <c r="Q394" s="23" t="n">
        <v>16.788717</v>
      </c>
      <c r="R394" s="23" t="n">
        <v>12.55731</v>
      </c>
      <c r="S394" s="23" t="n">
        <v>-2.175629000000001</v>
      </c>
      <c r="T394" s="23" t="n">
        <v>14.732939</v>
      </c>
      <c r="U394" s="23" t="n">
        <v>13.138551</v>
      </c>
      <c r="V394" s="23" t="n">
        <v>1477.43</v>
      </c>
      <c r="W394" s="23" t="n">
        <v>-0.1701816863183307</v>
      </c>
      <c r="X394" s="23" t="n">
        <v>-0.3232651774711027</v>
      </c>
      <c r="Y394" s="23" t="n">
        <v>-0.5406524371910361</v>
      </c>
      <c r="Z394" s="23" t="n">
        <v>-0.6785441900898623</v>
      </c>
      <c r="AA394" s="23" t="n">
        <v>-0.6478173160392064</v>
      </c>
      <c r="AB394" s="23" t="n">
        <v>-0.8185630850743351</v>
      </c>
      <c r="AC394" s="23" t="n">
        <v>-0.3248237613192398</v>
      </c>
      <c r="AD394" s="23" t="n">
        <v>-0.5002639254119168</v>
      </c>
      <c r="AE394" s="23" t="n">
        <v>6.487719</v>
      </c>
      <c r="AF394" s="23" t="n">
        <v>11.9932995</v>
      </c>
      <c r="AG394" s="23" t="n">
        <v>13.935626</v>
      </c>
      <c r="AH394" s="23" t="n">
        <v>15.078195</v>
      </c>
      <c r="AI394" s="23" t="n">
        <v>14.506107</v>
      </c>
      <c r="AJ394" s="23" t="n">
        <v>14.357214</v>
      </c>
      <c r="AK394" s="23" t="n">
        <v>15.7368555</v>
      </c>
      <c r="AL394" s="23" t="inlineStr">
        <is>
          <t>Equity Scheme - Value Fund</t>
        </is>
      </c>
      <c r="AM394" s="23" t="n">
        <v>1.97</v>
      </c>
      <c r="AN394" s="23" t="n">
        <v>0</v>
      </c>
      <c r="AO394" s="23" t="n">
        <v>0.05</v>
      </c>
      <c r="AP394" s="23" t="n">
        <v>0.23</v>
      </c>
      <c r="AQ394" s="23" t="n">
        <v>2.26</v>
      </c>
      <c r="AR394" s="23" t="n">
        <v>1.38</v>
      </c>
      <c r="AS394" s="23" t="n">
        <v>0</v>
      </c>
      <c r="AT394" s="23" t="n">
        <v>0.05</v>
      </c>
      <c r="AU394" s="23" t="n">
        <v>0.23</v>
      </c>
      <c r="AV394" s="23" t="n">
        <v>1.67</v>
      </c>
      <c r="AW394" s="17" t="n">
        <v>0.3275958928680153</v>
      </c>
      <c r="AX394" s="18" t="inlineStr">
        <is>
          <t>-5cr</t>
        </is>
      </c>
      <c r="AY394" s="26" t="n">
        <v>1.26911414040393</v>
      </c>
      <c r="AZ394" s="26" t="n">
        <v>1.367880328305439</v>
      </c>
      <c r="BA394" s="26" t="n">
        <v>0.4691896073897664</v>
      </c>
      <c r="BB394" s="28" t="n">
        <v>3</v>
      </c>
      <c r="BC394" t="n">
        <v>1</v>
      </c>
      <c r="BD394" t="n">
        <v>1</v>
      </c>
      <c r="BE394" t="n">
        <v>0</v>
      </c>
      <c r="BF394" t="n">
        <v>0</v>
      </c>
      <c r="BG394" t="n">
        <v>0</v>
      </c>
      <c r="BH394" t="n">
        <v>1</v>
      </c>
    </row>
    <row r="395">
      <c r="A395" s="23" t="inlineStr">
        <is>
          <t>Tata Value Fund</t>
        </is>
      </c>
      <c r="B395" s="23" t="inlineStr">
        <is>
          <t>value</t>
        </is>
      </c>
      <c r="C395" s="23" t="inlineStr">
        <is>
          <t>Nifty 500 TRI</t>
        </is>
      </c>
      <c r="D395" s="23" t="inlineStr">
        <is>
          <t>Very High</t>
        </is>
      </c>
      <c r="E395" s="23" t="inlineStr">
        <is>
          <t>Very High</t>
        </is>
      </c>
      <c r="F395" s="24" t="n">
        <v>46023</v>
      </c>
      <c r="G395" s="23" t="n">
        <v>363.7628</v>
      </c>
      <c r="H395" s="23" t="n">
        <v>411.4793</v>
      </c>
      <c r="I395" s="23" t="n">
        <v>4.2838354</v>
      </c>
      <c r="J395" s="23" t="n">
        <v>-3.1351929</v>
      </c>
      <c r="K395" s="23" t="n">
        <v>7.4190283</v>
      </c>
      <c r="L395" s="23" t="n">
        <v>21.126623</v>
      </c>
      <c r="M395" s="23" t="n">
        <v>4.404394</v>
      </c>
      <c r="N395" s="23" t="n">
        <v>16.722229</v>
      </c>
      <c r="O395" s="23" t="n">
        <v>19.676394</v>
      </c>
      <c r="P395" s="23" t="n">
        <v>2.887677</v>
      </c>
      <c r="Q395" s="23" t="n">
        <v>16.788717</v>
      </c>
      <c r="R395" s="23" t="n">
        <v>16.499846</v>
      </c>
      <c r="S395" s="23" t="n">
        <v>1.766907000000002</v>
      </c>
      <c r="T395" s="23" t="n">
        <v>14.732939</v>
      </c>
      <c r="U395" s="23" t="n">
        <v>17.421505</v>
      </c>
      <c r="V395" s="23" t="n">
        <v>9054.65</v>
      </c>
      <c r="W395" s="23" t="n">
        <v>-0.6656188625957262</v>
      </c>
      <c r="X395" s="23" t="n">
        <v>-0.8925674063944745</v>
      </c>
      <c r="Y395" s="23" t="n">
        <v>0.3452832993537743</v>
      </c>
      <c r="Z395" s="23" t="n">
        <v>0.1092568328658954</v>
      </c>
      <c r="AA395" s="23" t="n">
        <v>0.8463494749957404</v>
      </c>
      <c r="AB395" s="23" t="n">
        <v>0.633399246681021</v>
      </c>
      <c r="AC395" s="23" t="n">
        <v>0.5862813318721632</v>
      </c>
      <c r="AD395" s="23" t="n">
        <v>0.349335166153767</v>
      </c>
      <c r="AE395" s="23" t="n">
        <v>3.2653997</v>
      </c>
      <c r="AF395" s="23" t="n">
        <v>15.274175</v>
      </c>
      <c r="AG395" s="23" t="n">
        <v>19.946863</v>
      </c>
      <c r="AH395" s="23" t="n">
        <v>18.473206</v>
      </c>
      <c r="AI395" s="23" t="n">
        <v>16.0937</v>
      </c>
      <c r="AJ395" s="23" t="n">
        <v>14.357214</v>
      </c>
      <c r="AK395" s="23" t="n">
        <v>18.172834</v>
      </c>
      <c r="AL395" s="23" t="inlineStr">
        <is>
          <t>Equity Scheme - Value Fund</t>
        </is>
      </c>
      <c r="AM395" s="23" t="n">
        <v>1.62</v>
      </c>
      <c r="AN395" s="23" t="n">
        <v>0</v>
      </c>
      <c r="AO395" s="23" t="n">
        <v>0.05</v>
      </c>
      <c r="AP395" s="23" t="n">
        <v>0.12</v>
      </c>
      <c r="AQ395" s="23" t="n">
        <v>1.79</v>
      </c>
      <c r="AR395" s="23" t="n">
        <v>0.64</v>
      </c>
      <c r="AS395" s="23" t="n">
        <v>0</v>
      </c>
      <c r="AT395" s="23" t="n">
        <v>0.05</v>
      </c>
      <c r="AU395" s="23" t="n">
        <v>0.12</v>
      </c>
      <c r="AV395" s="23" t="n">
        <v>0.8100000000000001</v>
      </c>
      <c r="AW395" s="17" t="n">
        <v>-0.07377424859050645</v>
      </c>
      <c r="AX395" s="18" t="inlineStr">
        <is>
          <t>7cr</t>
        </is>
      </c>
      <c r="AY395" s="26" t="n">
        <v>1.459033398954014</v>
      </c>
      <c r="AZ395" s="26" t="n">
        <v>1.367880328305439</v>
      </c>
      <c r="BA395" s="26" t="n">
        <v>0.5886824335654826</v>
      </c>
      <c r="BB395" s="28" t="n">
        <v>1</v>
      </c>
      <c r="BC395" t="n">
        <v>0</v>
      </c>
      <c r="BD395" t="n">
        <v>0</v>
      </c>
      <c r="BE395" t="n">
        <v>1</v>
      </c>
      <c r="BF395" t="n">
        <v>0</v>
      </c>
      <c r="BG395" t="n">
        <v>0</v>
      </c>
      <c r="BH395" t="n">
        <v>0</v>
      </c>
    </row>
    <row r="396">
      <c r="A396" s="23" t="inlineStr">
        <is>
          <t>Templeton India Value Fund</t>
        </is>
      </c>
      <c r="B396" s="23" t="inlineStr">
        <is>
          <t>value</t>
        </is>
      </c>
      <c r="C396" s="23" t="inlineStr">
        <is>
          <t>Nifty 500 TRI</t>
        </is>
      </c>
      <c r="D396" s="23" t="inlineStr">
        <is>
          <t>Very High</t>
        </is>
      </c>
      <c r="E396" s="23" t="inlineStr">
        <is>
          <t>Very High</t>
        </is>
      </c>
      <c r="F396" s="24" t="n">
        <v>46023</v>
      </c>
      <c r="G396" s="23" t="n">
        <v>743.3295000000001</v>
      </c>
      <c r="H396" s="23" t="n">
        <v>833.4958</v>
      </c>
      <c r="I396" s="23" t="n">
        <v>7.9644628</v>
      </c>
      <c r="J396" s="23" t="n">
        <v>0.5454344999999998</v>
      </c>
      <c r="K396" s="23" t="n">
        <v>7.4190283</v>
      </c>
      <c r="L396" s="23" t="n">
        <v>19.472687</v>
      </c>
      <c r="M396" s="23" t="n">
        <v>2.750458000000002</v>
      </c>
      <c r="N396" s="23" t="n">
        <v>16.722229</v>
      </c>
      <c r="O396" s="23" t="n">
        <v>23.5946</v>
      </c>
      <c r="P396" s="23" t="n">
        <v>6.805883000000001</v>
      </c>
      <c r="Q396" s="23" t="n">
        <v>16.788717</v>
      </c>
      <c r="R396" s="23" t="n">
        <v>15.897553</v>
      </c>
      <c r="S396" s="23" t="n">
        <v>1.164614</v>
      </c>
      <c r="T396" s="23" t="n">
        <v>14.732939</v>
      </c>
      <c r="U396" s="23" t="n">
        <v>15.637151</v>
      </c>
      <c r="V396" s="23" t="n">
        <v>2328.11</v>
      </c>
      <c r="W396" s="23" t="n">
        <v>0.0669901596283919</v>
      </c>
      <c r="X396" s="23" t="n">
        <v>-0.2281658582423093</v>
      </c>
      <c r="Y396" s="23" t="n">
        <v>0.1997065619697572</v>
      </c>
      <c r="Z396" s="23" t="n">
        <v>0.02490834462901918</v>
      </c>
      <c r="AA396" s="23" t="n">
        <v>0.602728535186989</v>
      </c>
      <c r="AB396" s="23" t="n">
        <v>0.2792066986918923</v>
      </c>
      <c r="AC396" s="23" t="n">
        <v>1.181874553492393</v>
      </c>
      <c r="AD396" s="23" t="n">
        <v>0.9537562970613718</v>
      </c>
      <c r="AE396" s="23" t="n">
        <v>6.6974273</v>
      </c>
      <c r="AF396" s="23" t="n">
        <v>14.797154</v>
      </c>
      <c r="AG396" s="23" t="n">
        <v>18.042282</v>
      </c>
      <c r="AH396" s="23" t="n">
        <v>22.246206</v>
      </c>
      <c r="AI396" s="23" t="n">
        <v>16.20134</v>
      </c>
      <c r="AJ396" s="23" t="n">
        <v>14.41386</v>
      </c>
      <c r="AK396" s="23" t="n">
        <v>17.473343</v>
      </c>
      <c r="AL396" s="23" t="inlineStr">
        <is>
          <t>Equity Scheme - Value Fund</t>
        </is>
      </c>
      <c r="AM396" s="23" t="n">
        <v>1.87</v>
      </c>
      <c r="AN396" s="23" t="n">
        <v>0</v>
      </c>
      <c r="AO396" s="23" t="n">
        <v>0.05</v>
      </c>
      <c r="AP396" s="23" t="n">
        <v>0.13</v>
      </c>
      <c r="AQ396" s="23" t="n">
        <v>2.05</v>
      </c>
      <c r="AR396" s="23" t="n">
        <v>0.75</v>
      </c>
      <c r="AS396" s="23" t="n">
        <v>0</v>
      </c>
      <c r="AT396" s="23" t="n">
        <v>0.05</v>
      </c>
      <c r="AU396" s="23" t="n">
        <v>0.13</v>
      </c>
      <c r="AV396" s="23" t="n">
        <v>0.93</v>
      </c>
      <c r="AW396" s="17" t="n">
        <v>-0.4046200566124484</v>
      </c>
      <c r="AX396" t="inlineStr">
        <is>
          <t>9cr</t>
        </is>
      </c>
      <c r="AY396" s="26" t="n">
        <v>1.421634473744404</v>
      </c>
      <c r="AZ396" s="26" t="n">
        <v>1.367880328305439</v>
      </c>
      <c r="BA396" s="26" t="n">
        <v>0.4886033556843645</v>
      </c>
      <c r="BB396" s="28" t="n">
        <v>3</v>
      </c>
      <c r="BC396" t="n">
        <v>1</v>
      </c>
      <c r="BD396" t="n">
        <v>0</v>
      </c>
      <c r="BE396" t="n">
        <v>1</v>
      </c>
      <c r="BF396" t="n">
        <v>1</v>
      </c>
      <c r="BG396" t="n">
        <v>0</v>
      </c>
      <c r="BH396" t="n">
        <v>0</v>
      </c>
    </row>
    <row r="397">
      <c r="A397" s="23" t="inlineStr">
        <is>
          <t>Union Value Fund</t>
        </is>
      </c>
      <c r="B397" s="23" t="inlineStr">
        <is>
          <t>value</t>
        </is>
      </c>
      <c r="C397" s="23" t="inlineStr">
        <is>
          <t>BSE 500 TRI</t>
        </is>
      </c>
      <c r="D397" s="23" t="inlineStr">
        <is>
          <t>Very High</t>
        </is>
      </c>
      <c r="E397" s="23" t="inlineStr">
        <is>
          <t>Very High</t>
        </is>
      </c>
      <c r="F397" s="24" t="n">
        <v>46023</v>
      </c>
      <c r="G397" s="23" t="n">
        <v>29.23</v>
      </c>
      <c r="H397" s="23" t="n">
        <v>31.19</v>
      </c>
      <c r="I397" s="23" t="n">
        <v>7.7747064</v>
      </c>
      <c r="J397" s="23" t="n">
        <v>0.4856814000000007</v>
      </c>
      <c r="K397" s="23" t="n">
        <v>7.289025</v>
      </c>
      <c r="L397" s="23" t="n">
        <v>19.741583</v>
      </c>
      <c r="M397" s="23" t="n">
        <v>3.327520999999997</v>
      </c>
      <c r="N397" s="23" t="n">
        <v>16.414062</v>
      </c>
      <c r="O397" s="23" t="n">
        <v>19.30074</v>
      </c>
      <c r="P397" s="23" t="n">
        <v>2.574303</v>
      </c>
      <c r="Q397" s="23" t="n">
        <v>16.726437</v>
      </c>
      <c r="R397" s="23" t="n"/>
      <c r="S397" s="23" t="n"/>
      <c r="T397" s="23" t="n"/>
      <c r="U397" s="23" t="n">
        <v>17.430681</v>
      </c>
      <c r="V397" s="23" t="n">
        <v>372.24</v>
      </c>
      <c r="W397" s="23" t="n">
        <v>0.142231611089754</v>
      </c>
      <c r="X397" s="23" t="n">
        <v>-0.2198182041378863</v>
      </c>
      <c r="Y397" s="23" t="n"/>
      <c r="Z397" s="23" t="n"/>
      <c r="AA397" s="23" t="n">
        <v>0.8366833878231976</v>
      </c>
      <c r="AB397" s="23" t="n">
        <v>0.5234257836067189</v>
      </c>
      <c r="AC397" s="23" t="n">
        <v>0.625730377071343</v>
      </c>
      <c r="AD397" s="23" t="n">
        <v>0.3526673635158291</v>
      </c>
      <c r="AE397" s="23" t="n">
        <v>6.484517</v>
      </c>
      <c r="AF397" s="23" t="n"/>
      <c r="AG397" s="23" t="n">
        <v>18.458588</v>
      </c>
      <c r="AH397" s="23" t="n">
        <v>18.150005</v>
      </c>
      <c r="AI397" s="23" t="n">
        <v>15.980904</v>
      </c>
      <c r="AJ397" s="23" t="n">
        <v>15.980904</v>
      </c>
      <c r="AK397" s="23" t="n">
        <v>16.359037</v>
      </c>
      <c r="AL397" s="23" t="inlineStr">
        <is>
          <t>Equity Scheme - Value Fund</t>
        </is>
      </c>
      <c r="AM397" s="23" t="n">
        <v>2.25</v>
      </c>
      <c r="AN397" s="23" t="n">
        <v>0</v>
      </c>
      <c r="AO397" s="23" t="n">
        <v>0.05</v>
      </c>
      <c r="AP397" s="23" t="n">
        <v>0.17</v>
      </c>
      <c r="AQ397" s="23" t="n">
        <v>2.47</v>
      </c>
      <c r="AR397" s="23" t="n">
        <v>1.1</v>
      </c>
      <c r="AS397" s="23" t="n">
        <v>0</v>
      </c>
      <c r="AT397" s="23" t="n">
        <v>0.05</v>
      </c>
      <c r="AU397" s="23" t="n">
        <v>0.17</v>
      </c>
      <c r="AV397" s="23" t="n">
        <v>1.32</v>
      </c>
      <c r="AW397" s="17" t="n">
        <v>-0.6904147861594652</v>
      </c>
      <c r="AX397" t="inlineStr">
        <is>
          <t>3cr</t>
        </is>
      </c>
      <c r="AY397" s="26" t="n">
        <v>1.356824230641889</v>
      </c>
      <c r="AZ397" s="26" t="n">
        <v>1.367880328305439</v>
      </c>
      <c r="BA397" s="26" t="n">
        <v>0.5266782132154468</v>
      </c>
      <c r="BB397" s="28" t="n">
        <v>3</v>
      </c>
      <c r="BC397" t="n">
        <v>1</v>
      </c>
      <c r="BD397" t="n">
        <v>0</v>
      </c>
      <c r="BE397" t="n">
        <v>0</v>
      </c>
      <c r="BF397" t="n">
        <v>1</v>
      </c>
      <c r="BG397" t="n">
        <v>0</v>
      </c>
      <c r="BH397" t="n">
        <v>1</v>
      </c>
    </row>
    <row r="398">
      <c r="A398" s="15" t="inlineStr">
        <is>
          <t>category_avg_value</t>
        </is>
      </c>
      <c r="I398" s="26" t="n">
        <v>4.72190215</v>
      </c>
      <c r="K398" s="26" t="n">
        <v>7.386527474999999</v>
      </c>
      <c r="L398" s="26" t="n">
        <v>20.25972666666667</v>
      </c>
      <c r="N398" s="26" t="n">
        <v>16.64005113333333</v>
      </c>
      <c r="O398" s="26" t="n">
        <v>20.30567883333334</v>
      </c>
      <c r="Q398" s="26" t="n">
        <v>16.773147</v>
      </c>
      <c r="R398" s="26" t="n">
        <v>15.3947934</v>
      </c>
      <c r="T398" s="26" t="n">
        <v>14.7442106</v>
      </c>
      <c r="AE398">
        <f>AVERAGE(AA381:AA397)</f>
        <v/>
      </c>
      <c r="AF398">
        <f>AVERAGE(AB381:AB397)</f>
        <v/>
      </c>
      <c r="AG398">
        <f>AVERAGE(AC381:AC397)</f>
        <v/>
      </c>
      <c r="AH398">
        <f>AVERAGE(AD381:AD397)</f>
        <v/>
      </c>
      <c r="AI398">
        <f>AVERAGE(AE381:AE397)</f>
        <v/>
      </c>
      <c r="AV398" s="17" t="n">
        <v>0.953529411764706</v>
      </c>
      <c r="AZ398" s="26" t="n">
        <v>1.367880460766706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K1" sqref="A1:K5"/>
    </sheetView>
  </sheetViews>
  <sheetFormatPr baseColWidth="10" defaultRowHeight="15"/>
  <cols>
    <col width="12.1640625" customWidth="1" min="2" max="2"/>
    <col width="14.5" customWidth="1" min="5" max="5"/>
    <col width="14.83203125" customWidth="1" min="9" max="9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/Users/rajitr/Desktop/Horizon/Jansens Alpha/matched_only.xlsx</t>
        </is>
      </c>
    </row>
    <row r="3">
      <c r="A3" t="inlineStr">
        <is>
          <t>sorted_file</t>
        </is>
      </c>
      <c r="B3" t="inlineStr">
        <is>
          <t>/Users/rajitr/Desktop/Horizon/Jansens Alpha/matched_only_sorted.xlsx</t>
        </is>
      </c>
    </row>
    <row r="4">
      <c r="A4" t="inlineStr">
        <is>
          <t>rows_sorted</t>
        </is>
      </c>
      <c r="B4" t="n">
        <v>387</v>
      </c>
    </row>
    <row r="5">
      <c r="A5" t="inlineStr">
        <is>
          <t>category_column_used</t>
        </is>
      </c>
      <c r="B5" t="inlineStr">
        <is>
          <t>fp_category</t>
        </is>
      </c>
    </row>
    <row r="6">
      <c r="A6" t="inlineStr">
        <is>
          <t>secondary_sort</t>
        </is>
      </c>
      <c r="B6" t="inlineStr">
        <is>
          <t>scheme_name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2026-02-17T06:06:57Z</dcterms:created>
  <dcterms:modified xsi:type="dcterms:W3CDTF">2026-02-18T11:26:42Z</dcterms:modified>
  <cp:lastModifiedBy>Rajit Rajesh</cp:lastModifiedBy>
</cp:coreProperties>
</file>